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13709840\Documents\Test Papers\"/>
    </mc:Choice>
  </mc:AlternateContent>
  <xr:revisionPtr revIDLastSave="0" documentId="13_ncr:1_{70F9C1E6-BF28-483B-B855-9BC7EBB1FF21}" xr6:coauthVersionLast="47" xr6:coauthVersionMax="47" xr10:uidLastSave="{00000000-0000-0000-0000-000000000000}"/>
  <bookViews>
    <workbookView xWindow="-110" yWindow="-110" windowWidth="19420" windowHeight="11500" tabRatio="885" xr2:uid="{00000000-000D-0000-FFFF-FFFF00000000}"/>
  </bookViews>
  <sheets>
    <sheet name="Que1" sheetId="1" r:id="rId1"/>
    <sheet name="Que2" sheetId="7" r:id="rId2"/>
    <sheet name="Que3" sheetId="3" r:id="rId3"/>
    <sheet name="Que4" sheetId="8" r:id="rId4"/>
    <sheet name="Que5" sheetId="5" r:id="rId5"/>
    <sheet name="Que6" sheetId="4" r:id="rId6"/>
    <sheet name="Que7" sheetId="6" r:id="rId7"/>
    <sheet name="Que8" sheetId="2" r:id="rId8"/>
    <sheet name="Que9" sheetId="9" r:id="rId9"/>
    <sheet name="Que10" sheetId="10" r:id="rId10"/>
    <sheet name="Que11" sheetId="11" r:id="rId11"/>
    <sheet name="Que12" sheetId="12" r:id="rId12"/>
    <sheet name="Que13" sheetId="13" r:id="rId13"/>
    <sheet name="Que14" sheetId="14" r:id="rId14"/>
    <sheet name="Que15" sheetId="15" r:id="rId15"/>
    <sheet name="Que16" sheetId="16" r:id="rId16"/>
  </sheets>
  <definedNames>
    <definedName name="_xlnm._FilterDatabase" localSheetId="0" hidden="1">'Que1'!#REF!</definedName>
    <definedName name="_xlnm._FilterDatabase" localSheetId="9" hidden="1">'Que10'!$A$2:$AB$835</definedName>
    <definedName name="_xlnm._FilterDatabase" localSheetId="13" hidden="1">'Que14'!$A$1:$B$22</definedName>
    <definedName name="_xlnm._FilterDatabase" localSheetId="14" hidden="1">'Que15'!$A$1:$B$37</definedName>
    <definedName name="_xlnm._FilterDatabase" localSheetId="1" hidden="1">'Que2'!$B$29:$D$41</definedName>
    <definedName name="_xlnm._FilterDatabase" localSheetId="2" hidden="1">'Que3'!$K$1:$Q$18</definedName>
    <definedName name="_xlnm._FilterDatabase" localSheetId="3" hidden="1">'Que4'!$A$3:$XFC$34</definedName>
    <definedName name="_xlnm._FilterDatabase" localSheetId="4" hidden="1">'Que5'!$A$1:$C$141</definedName>
    <definedName name="_xlnm._FilterDatabase" localSheetId="5" hidden="1">'Que6'!$A$1:$K$50</definedName>
    <definedName name="_xlnm._FilterDatabase" localSheetId="6" hidden="1">'Que7'!$A$1:$D$25</definedName>
    <definedName name="_xlnm._FilterDatabase" localSheetId="8" hidden="1">'Que9'!$A$1:$K$27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7" l="1"/>
  <c r="I14" i="7"/>
  <c r="C14" i="7"/>
  <c r="C3" i="7"/>
  <c r="H2" i="14" a="1"/>
  <c r="H2" i="14" s="1"/>
  <c r="H3" i="14" a="1"/>
  <c r="H3" i="14" s="1"/>
  <c r="H4" i="14" a="1"/>
  <c r="H4" i="14" s="1"/>
  <c r="H5" i="14" a="1"/>
  <c r="H5" i="14" s="1"/>
  <c r="H6" i="14" a="1"/>
  <c r="H6" i="14" s="1"/>
  <c r="D5" i="16"/>
  <c r="D6" i="16"/>
  <c r="D7" i="16"/>
  <c r="D8" i="16"/>
  <c r="D9" i="16"/>
  <c r="D10" i="16"/>
  <c r="D11" i="16"/>
  <c r="D12" i="16"/>
  <c r="D13" i="16"/>
  <c r="D14" i="16"/>
  <c r="D4" i="16"/>
  <c r="K4" i="12"/>
  <c r="L4" i="12"/>
  <c r="M4" i="12"/>
  <c r="N4" i="12"/>
  <c r="O4" i="12"/>
  <c r="P4" i="12"/>
  <c r="Q4" i="12"/>
  <c r="R4" i="12"/>
  <c r="S4" i="12"/>
  <c r="T4" i="12"/>
  <c r="K5" i="12"/>
  <c r="L5" i="12"/>
  <c r="M5" i="12"/>
  <c r="N5" i="12"/>
  <c r="O5" i="12"/>
  <c r="P5" i="12"/>
  <c r="Q5" i="12"/>
  <c r="R5" i="12"/>
  <c r="S5" i="12"/>
  <c r="T5" i="12"/>
  <c r="K6" i="12"/>
  <c r="L6" i="12"/>
  <c r="M6" i="12"/>
  <c r="N6" i="12"/>
  <c r="O6" i="12"/>
  <c r="P6" i="12"/>
  <c r="Q6" i="12"/>
  <c r="R6" i="12"/>
  <c r="S6" i="12"/>
  <c r="T6" i="12"/>
  <c r="L3" i="12"/>
  <c r="M3" i="12"/>
  <c r="N3" i="12"/>
  <c r="O3" i="12"/>
  <c r="P3" i="12"/>
  <c r="Q3" i="12"/>
  <c r="R3" i="12"/>
  <c r="S3" i="12"/>
  <c r="T3" i="12"/>
  <c r="K3" i="12"/>
  <c r="I4" i="10" a="1"/>
  <c r="I4" i="10" s="1"/>
  <c r="J4" i="10" a="1"/>
  <c r="J4" i="10" s="1"/>
  <c r="K4" i="10" a="1"/>
  <c r="K4" i="10" s="1"/>
  <c r="L4" i="10" a="1"/>
  <c r="L4" i="10" s="1"/>
  <c r="I5" i="10" a="1"/>
  <c r="I5" i="10" s="1"/>
  <c r="J5" i="10" a="1"/>
  <c r="J5" i="10" s="1"/>
  <c r="K5" i="10" a="1"/>
  <c r="K5" i="10" s="1"/>
  <c r="L5" i="10" a="1"/>
  <c r="L5" i="10" s="1"/>
  <c r="I6" i="10" a="1"/>
  <c r="I6" i="10" s="1"/>
  <c r="J6" i="10" a="1"/>
  <c r="J6" i="10" s="1"/>
  <c r="K6" i="10" a="1"/>
  <c r="K6" i="10" s="1"/>
  <c r="L6" i="10" a="1"/>
  <c r="L6" i="10" s="1"/>
  <c r="I7" i="10" a="1"/>
  <c r="I7" i="10" s="1"/>
  <c r="J7" i="10" a="1"/>
  <c r="J7" i="10" s="1"/>
  <c r="K7" i="10" a="1"/>
  <c r="K7" i="10" s="1"/>
  <c r="L7" i="10" a="1"/>
  <c r="L7" i="10" s="1"/>
  <c r="I8" i="10" a="1"/>
  <c r="I8" i="10" s="1"/>
  <c r="J8" i="10" a="1"/>
  <c r="J8" i="10" s="1"/>
  <c r="K8" i="10" a="1"/>
  <c r="K8" i="10" s="1"/>
  <c r="L8" i="10" a="1"/>
  <c r="L8" i="10" s="1"/>
  <c r="I9" i="10" a="1"/>
  <c r="I9" i="10" s="1"/>
  <c r="J9" i="10" a="1"/>
  <c r="J9" i="10" s="1"/>
  <c r="K9" i="10" a="1"/>
  <c r="K9" i="10" s="1"/>
  <c r="L9" i="10" a="1"/>
  <c r="L9" i="10" s="1"/>
  <c r="I10" i="10" a="1"/>
  <c r="I10" i="10" s="1"/>
  <c r="J10" i="10" a="1"/>
  <c r="J10" i="10" s="1"/>
  <c r="K10" i="10" a="1"/>
  <c r="K10" i="10" s="1"/>
  <c r="L10" i="10" a="1"/>
  <c r="L10" i="10" s="1"/>
  <c r="I11" i="10" a="1"/>
  <c r="I11" i="10" s="1"/>
  <c r="J11" i="10" a="1"/>
  <c r="J11" i="10" s="1"/>
  <c r="K11" i="10" a="1"/>
  <c r="K11" i="10" s="1"/>
  <c r="L11" i="10" a="1"/>
  <c r="L11" i="10" s="1"/>
  <c r="I12" i="10" a="1"/>
  <c r="I12" i="10" s="1"/>
  <c r="J12" i="10" a="1"/>
  <c r="J12" i="10" s="1"/>
  <c r="K12" i="10" a="1"/>
  <c r="K12" i="10" s="1"/>
  <c r="L12" i="10" a="1"/>
  <c r="L12" i="10" s="1"/>
  <c r="I13" i="10" a="1"/>
  <c r="I13" i="10" s="1"/>
  <c r="J13" i="10" a="1"/>
  <c r="J13" i="10" s="1"/>
  <c r="K13" i="10" a="1"/>
  <c r="K13" i="10" s="1"/>
  <c r="L13" i="10" a="1"/>
  <c r="L13" i="10" s="1"/>
  <c r="I14" i="10" a="1"/>
  <c r="I14" i="10" s="1"/>
  <c r="J14" i="10" a="1"/>
  <c r="J14" i="10" s="1"/>
  <c r="K14" i="10" a="1"/>
  <c r="K14" i="10" s="1"/>
  <c r="L14" i="10" a="1"/>
  <c r="L14" i="10" s="1"/>
  <c r="I15" i="10" a="1"/>
  <c r="I15" i="10" s="1"/>
  <c r="J15" i="10" a="1"/>
  <c r="J15" i="10" s="1"/>
  <c r="K15" i="10" a="1"/>
  <c r="K15" i="10" s="1"/>
  <c r="L15" i="10" a="1"/>
  <c r="L15" i="10" s="1"/>
  <c r="I16" i="10" a="1"/>
  <c r="I16" i="10" s="1"/>
  <c r="J16" i="10" a="1"/>
  <c r="J16" i="10" s="1"/>
  <c r="K16" i="10" a="1"/>
  <c r="K16" i="10" s="1"/>
  <c r="L16" i="10" a="1"/>
  <c r="L16" i="10" s="1"/>
  <c r="I17" i="10" a="1"/>
  <c r="I17" i="10" s="1"/>
  <c r="J17" i="10" a="1"/>
  <c r="J17" i="10" s="1"/>
  <c r="K17" i="10" a="1"/>
  <c r="K17" i="10" s="1"/>
  <c r="L17" i="10" a="1"/>
  <c r="L17" i="10" s="1"/>
  <c r="I18" i="10" a="1"/>
  <c r="I18" i="10" s="1"/>
  <c r="J18" i="10" a="1"/>
  <c r="J18" i="10" s="1"/>
  <c r="K18" i="10" a="1"/>
  <c r="K18" i="10" s="1"/>
  <c r="L18" i="10" a="1"/>
  <c r="L18" i="10" s="1"/>
  <c r="I19" i="10" a="1"/>
  <c r="I19" i="10" s="1"/>
  <c r="J19" i="10" a="1"/>
  <c r="J19" i="10" s="1"/>
  <c r="K19" i="10" a="1"/>
  <c r="K19" i="10" s="1"/>
  <c r="L19" i="10" a="1"/>
  <c r="L19" i="10" s="1"/>
  <c r="I20" i="10" a="1"/>
  <c r="I20" i="10" s="1"/>
  <c r="J20" i="10" a="1"/>
  <c r="J20" i="10" s="1"/>
  <c r="K20" i="10" a="1"/>
  <c r="K20" i="10" s="1"/>
  <c r="L20" i="10" a="1"/>
  <c r="L20" i="10" s="1"/>
  <c r="I21" i="10" a="1"/>
  <c r="I21" i="10" s="1"/>
  <c r="J21" i="10" a="1"/>
  <c r="J21" i="10" s="1"/>
  <c r="K21" i="10" a="1"/>
  <c r="K21" i="10" s="1"/>
  <c r="L21" i="10" a="1"/>
  <c r="L21" i="10" s="1"/>
  <c r="I22" i="10" a="1"/>
  <c r="I22" i="10" s="1"/>
  <c r="J22" i="10" a="1"/>
  <c r="J22" i="10" s="1"/>
  <c r="K22" i="10" a="1"/>
  <c r="K22" i="10" s="1"/>
  <c r="L22" i="10" a="1"/>
  <c r="L22" i="10" s="1"/>
  <c r="I23" i="10" a="1"/>
  <c r="I23" i="10" s="1"/>
  <c r="J23" i="10" a="1"/>
  <c r="J23" i="10" s="1"/>
  <c r="K23" i="10" a="1"/>
  <c r="K23" i="10" s="1"/>
  <c r="L23" i="10" a="1"/>
  <c r="L23" i="10" s="1"/>
  <c r="I24" i="10" a="1"/>
  <c r="I24" i="10" s="1"/>
  <c r="J24" i="10" a="1"/>
  <c r="J24" i="10" s="1"/>
  <c r="K24" i="10" a="1"/>
  <c r="K24" i="10" s="1"/>
  <c r="L24" i="10" a="1"/>
  <c r="L24" i="10" s="1"/>
  <c r="I25" i="10" a="1"/>
  <c r="I25" i="10" s="1"/>
  <c r="J25" i="10" a="1"/>
  <c r="J25" i="10" s="1"/>
  <c r="K25" i="10" a="1"/>
  <c r="K25" i="10" s="1"/>
  <c r="L25" i="10" a="1"/>
  <c r="L25" i="10" s="1"/>
  <c r="I26" i="10" a="1"/>
  <c r="I26" i="10" s="1"/>
  <c r="J26" i="10" a="1"/>
  <c r="J26" i="10" s="1"/>
  <c r="K26" i="10" a="1"/>
  <c r="K26" i="10" s="1"/>
  <c r="L26" i="10" a="1"/>
  <c r="L26" i="10" s="1"/>
  <c r="I27" i="10" a="1"/>
  <c r="I27" i="10" s="1"/>
  <c r="J27" i="10" a="1"/>
  <c r="J27" i="10" s="1"/>
  <c r="K27" i="10" a="1"/>
  <c r="K27" i="10" s="1"/>
  <c r="L27" i="10" a="1"/>
  <c r="L27" i="10" s="1"/>
  <c r="I28" i="10" a="1"/>
  <c r="I28" i="10" s="1"/>
  <c r="J28" i="10" a="1"/>
  <c r="J28" i="10" s="1"/>
  <c r="K28" i="10" a="1"/>
  <c r="K28" i="10" s="1"/>
  <c r="L28" i="10" a="1"/>
  <c r="L28" i="10" s="1"/>
  <c r="I29" i="10" a="1"/>
  <c r="I29" i="10" s="1"/>
  <c r="J29" i="10" a="1"/>
  <c r="J29" i="10" s="1"/>
  <c r="K29" i="10" a="1"/>
  <c r="K29" i="10" s="1"/>
  <c r="L29" i="10" a="1"/>
  <c r="L29" i="10" s="1"/>
  <c r="I30" i="10" a="1"/>
  <c r="I30" i="10" s="1"/>
  <c r="J30" i="10" a="1"/>
  <c r="J30" i="10" s="1"/>
  <c r="K30" i="10" a="1"/>
  <c r="K30" i="10" s="1"/>
  <c r="L30" i="10" a="1"/>
  <c r="L30" i="10" s="1"/>
  <c r="I31" i="10" a="1"/>
  <c r="I31" i="10" s="1"/>
  <c r="J31" i="10" a="1"/>
  <c r="J31" i="10" s="1"/>
  <c r="K31" i="10" a="1"/>
  <c r="K31" i="10" s="1"/>
  <c r="L31" i="10" a="1"/>
  <c r="L31" i="10" s="1"/>
  <c r="I32" i="10" a="1"/>
  <c r="I32" i="10" s="1"/>
  <c r="J32" i="10" a="1"/>
  <c r="J32" i="10" s="1"/>
  <c r="K32" i="10" a="1"/>
  <c r="K32" i="10" s="1"/>
  <c r="L32" i="10" a="1"/>
  <c r="L32" i="10" s="1"/>
  <c r="I33" i="10" a="1"/>
  <c r="I33" i="10" s="1"/>
  <c r="J33" i="10" a="1"/>
  <c r="J33" i="10" s="1"/>
  <c r="K33" i="10" a="1"/>
  <c r="K33" i="10" s="1"/>
  <c r="L33" i="10" a="1"/>
  <c r="L33" i="10" s="1"/>
  <c r="I34" i="10" a="1"/>
  <c r="I34" i="10" s="1"/>
  <c r="J34" i="10" a="1"/>
  <c r="J34" i="10" s="1"/>
  <c r="K34" i="10" a="1"/>
  <c r="K34" i="10" s="1"/>
  <c r="L34" i="10" a="1"/>
  <c r="L34" i="10" s="1"/>
  <c r="I35" i="10" a="1"/>
  <c r="I35" i="10" s="1"/>
  <c r="J35" i="10" a="1"/>
  <c r="J35" i="10" s="1"/>
  <c r="K35" i="10" a="1"/>
  <c r="K35" i="10" s="1"/>
  <c r="L35" i="10" a="1"/>
  <c r="L35" i="10" s="1"/>
  <c r="I36" i="10" a="1"/>
  <c r="I36" i="10" s="1"/>
  <c r="J36" i="10" a="1"/>
  <c r="J36" i="10" s="1"/>
  <c r="K36" i="10" a="1"/>
  <c r="K36" i="10" s="1"/>
  <c r="L36" i="10" a="1"/>
  <c r="L36" i="10" s="1"/>
  <c r="I37" i="10" a="1"/>
  <c r="I37" i="10" s="1"/>
  <c r="J37" i="10" a="1"/>
  <c r="J37" i="10" s="1"/>
  <c r="K37" i="10" a="1"/>
  <c r="K37" i="10" s="1"/>
  <c r="L37" i="10" a="1"/>
  <c r="L37" i="10" s="1"/>
  <c r="I38" i="10" a="1"/>
  <c r="I38" i="10" s="1"/>
  <c r="J38" i="10" a="1"/>
  <c r="J38" i="10" s="1"/>
  <c r="K38" i="10" a="1"/>
  <c r="K38" i="10" s="1"/>
  <c r="L38" i="10" a="1"/>
  <c r="L38" i="10" s="1"/>
  <c r="I39" i="10" a="1"/>
  <c r="I39" i="10" s="1"/>
  <c r="J39" i="10" a="1"/>
  <c r="J39" i="10" s="1"/>
  <c r="K39" i="10" a="1"/>
  <c r="K39" i="10" s="1"/>
  <c r="L39" i="10" a="1"/>
  <c r="L39" i="10" s="1"/>
  <c r="I40" i="10" a="1"/>
  <c r="I40" i="10" s="1"/>
  <c r="J40" i="10" a="1"/>
  <c r="J40" i="10" s="1"/>
  <c r="K40" i="10" a="1"/>
  <c r="K40" i="10" s="1"/>
  <c r="L40" i="10" a="1"/>
  <c r="L40" i="10" s="1"/>
  <c r="I41" i="10" a="1"/>
  <c r="I41" i="10" s="1"/>
  <c r="J41" i="10" a="1"/>
  <c r="J41" i="10" s="1"/>
  <c r="K41" i="10" a="1"/>
  <c r="K41" i="10" s="1"/>
  <c r="L41" i="10" a="1"/>
  <c r="L41" i="10" s="1"/>
  <c r="I42" i="10" a="1"/>
  <c r="I42" i="10" s="1"/>
  <c r="J42" i="10" a="1"/>
  <c r="J42" i="10" s="1"/>
  <c r="K42" i="10" a="1"/>
  <c r="K42" i="10" s="1"/>
  <c r="L42" i="10" a="1"/>
  <c r="L42" i="10" s="1"/>
  <c r="I43" i="10" a="1"/>
  <c r="I43" i="10" s="1"/>
  <c r="J43" i="10" a="1"/>
  <c r="J43" i="10" s="1"/>
  <c r="K43" i="10" a="1"/>
  <c r="K43" i="10" s="1"/>
  <c r="L43" i="10" a="1"/>
  <c r="L43" i="10" s="1"/>
  <c r="I44" i="10" a="1"/>
  <c r="I44" i="10" s="1"/>
  <c r="J44" i="10" a="1"/>
  <c r="J44" i="10" s="1"/>
  <c r="K44" i="10" a="1"/>
  <c r="K44" i="10" s="1"/>
  <c r="L44" i="10" a="1"/>
  <c r="L44" i="10" s="1"/>
  <c r="I45" i="10" a="1"/>
  <c r="I45" i="10" s="1"/>
  <c r="J45" i="10" a="1"/>
  <c r="J45" i="10" s="1"/>
  <c r="K45" i="10" a="1"/>
  <c r="K45" i="10" s="1"/>
  <c r="L45" i="10" a="1"/>
  <c r="L45" i="10" s="1"/>
  <c r="I46" i="10" a="1"/>
  <c r="I46" i="10" s="1"/>
  <c r="J46" i="10" a="1"/>
  <c r="J46" i="10" s="1"/>
  <c r="K46" i="10" a="1"/>
  <c r="K46" i="10" s="1"/>
  <c r="L46" i="10" a="1"/>
  <c r="L46" i="10" s="1"/>
  <c r="I47" i="10" a="1"/>
  <c r="I47" i="10" s="1"/>
  <c r="J47" i="10" a="1"/>
  <c r="J47" i="10" s="1"/>
  <c r="K47" i="10" a="1"/>
  <c r="K47" i="10" s="1"/>
  <c r="L47" i="10" a="1"/>
  <c r="L47" i="10" s="1"/>
  <c r="I48" i="10" a="1"/>
  <c r="I48" i="10" s="1"/>
  <c r="J48" i="10" a="1"/>
  <c r="J48" i="10" s="1"/>
  <c r="K48" i="10" a="1"/>
  <c r="K48" i="10" s="1"/>
  <c r="L48" i="10" a="1"/>
  <c r="L48" i="10" s="1"/>
  <c r="I49" i="10" a="1"/>
  <c r="I49" i="10" s="1"/>
  <c r="J49" i="10" a="1"/>
  <c r="J49" i="10" s="1"/>
  <c r="K49" i="10" a="1"/>
  <c r="K49" i="10" s="1"/>
  <c r="L49" i="10" a="1"/>
  <c r="L49" i="10" s="1"/>
  <c r="I50" i="10" a="1"/>
  <c r="I50" i="10" s="1"/>
  <c r="J50" i="10" a="1"/>
  <c r="J50" i="10" s="1"/>
  <c r="K50" i="10" a="1"/>
  <c r="K50" i="10" s="1"/>
  <c r="L50" i="10" a="1"/>
  <c r="L50" i="10" s="1"/>
  <c r="I51" i="10" a="1"/>
  <c r="I51" i="10" s="1"/>
  <c r="J51" i="10" a="1"/>
  <c r="J51" i="10" s="1"/>
  <c r="K51" i="10" a="1"/>
  <c r="K51" i="10" s="1"/>
  <c r="L51" i="10" a="1"/>
  <c r="L51" i="10" s="1"/>
  <c r="I52" i="10" a="1"/>
  <c r="I52" i="10" s="1"/>
  <c r="J52" i="10" a="1"/>
  <c r="J52" i="10" s="1"/>
  <c r="K52" i="10" a="1"/>
  <c r="K52" i="10" s="1"/>
  <c r="L52" i="10" a="1"/>
  <c r="L52" i="10" s="1"/>
  <c r="I53" i="10" a="1"/>
  <c r="I53" i="10" s="1"/>
  <c r="J53" i="10" a="1"/>
  <c r="J53" i="10" s="1"/>
  <c r="K53" i="10" a="1"/>
  <c r="K53" i="10" s="1"/>
  <c r="L53" i="10" a="1"/>
  <c r="L53" i="10" s="1"/>
  <c r="I54" i="10" a="1"/>
  <c r="I54" i="10" s="1"/>
  <c r="J54" i="10" a="1"/>
  <c r="J54" i="10" s="1"/>
  <c r="K54" i="10" a="1"/>
  <c r="K54" i="10" s="1"/>
  <c r="L54" i="10" a="1"/>
  <c r="L54" i="10" s="1"/>
  <c r="I55" i="10" a="1"/>
  <c r="I55" i="10" s="1"/>
  <c r="J55" i="10" a="1"/>
  <c r="J55" i="10" s="1"/>
  <c r="K55" i="10" a="1"/>
  <c r="K55" i="10" s="1"/>
  <c r="L55" i="10" a="1"/>
  <c r="L55" i="10" s="1"/>
  <c r="I56" i="10" a="1"/>
  <c r="I56" i="10" s="1"/>
  <c r="J56" i="10" a="1"/>
  <c r="J56" i="10" s="1"/>
  <c r="K56" i="10" a="1"/>
  <c r="K56" i="10" s="1"/>
  <c r="L56" i="10" a="1"/>
  <c r="L56" i="10" s="1"/>
  <c r="I57" i="10" a="1"/>
  <c r="I57" i="10" s="1"/>
  <c r="J57" i="10" a="1"/>
  <c r="J57" i="10" s="1"/>
  <c r="K57" i="10" a="1"/>
  <c r="K57" i="10" s="1"/>
  <c r="L57" i="10" a="1"/>
  <c r="L57" i="10" s="1"/>
  <c r="I58" i="10" a="1"/>
  <c r="I58" i="10" s="1"/>
  <c r="J58" i="10" a="1"/>
  <c r="J58" i="10" s="1"/>
  <c r="K58" i="10" a="1"/>
  <c r="K58" i="10" s="1"/>
  <c r="L58" i="10" a="1"/>
  <c r="L58" i="10" s="1"/>
  <c r="I59" i="10" a="1"/>
  <c r="I59" i="10" s="1"/>
  <c r="J59" i="10" a="1"/>
  <c r="J59" i="10" s="1"/>
  <c r="K59" i="10" a="1"/>
  <c r="K59" i="10" s="1"/>
  <c r="L59" i="10" a="1"/>
  <c r="L59" i="10" s="1"/>
  <c r="I60" i="10" a="1"/>
  <c r="I60" i="10" s="1"/>
  <c r="J60" i="10" a="1"/>
  <c r="J60" i="10" s="1"/>
  <c r="K60" i="10" a="1"/>
  <c r="K60" i="10" s="1"/>
  <c r="L60" i="10" a="1"/>
  <c r="L60" i="10" s="1"/>
  <c r="I61" i="10" a="1"/>
  <c r="I61" i="10" s="1"/>
  <c r="J61" i="10" a="1"/>
  <c r="J61" i="10" s="1"/>
  <c r="K61" i="10" a="1"/>
  <c r="K61" i="10" s="1"/>
  <c r="L61" i="10" a="1"/>
  <c r="L61" i="10" s="1"/>
  <c r="I62" i="10" a="1"/>
  <c r="I62" i="10" s="1"/>
  <c r="J62" i="10" a="1"/>
  <c r="J62" i="10" s="1"/>
  <c r="K62" i="10" a="1"/>
  <c r="K62" i="10" s="1"/>
  <c r="L62" i="10" a="1"/>
  <c r="L62" i="10" s="1"/>
  <c r="I63" i="10" a="1"/>
  <c r="I63" i="10" s="1"/>
  <c r="J63" i="10" a="1"/>
  <c r="J63" i="10" s="1"/>
  <c r="K63" i="10" a="1"/>
  <c r="K63" i="10" s="1"/>
  <c r="L63" i="10" a="1"/>
  <c r="L63" i="10" s="1"/>
  <c r="I64" i="10" a="1"/>
  <c r="I64" i="10" s="1"/>
  <c r="J64" i="10" a="1"/>
  <c r="J64" i="10" s="1"/>
  <c r="K64" i="10" a="1"/>
  <c r="K64" i="10" s="1"/>
  <c r="L64" i="10" a="1"/>
  <c r="L64" i="10" s="1"/>
  <c r="I65" i="10" a="1"/>
  <c r="I65" i="10" s="1"/>
  <c r="J65" i="10" a="1"/>
  <c r="J65" i="10" s="1"/>
  <c r="K65" i="10" a="1"/>
  <c r="K65" i="10" s="1"/>
  <c r="L65" i="10" a="1"/>
  <c r="L65" i="10" s="1"/>
  <c r="I66" i="10" a="1"/>
  <c r="I66" i="10" s="1"/>
  <c r="J66" i="10" a="1"/>
  <c r="J66" i="10" s="1"/>
  <c r="K66" i="10" a="1"/>
  <c r="K66" i="10" s="1"/>
  <c r="L66" i="10" a="1"/>
  <c r="L66" i="10" s="1"/>
  <c r="I67" i="10" a="1"/>
  <c r="I67" i="10" s="1"/>
  <c r="J67" i="10" a="1"/>
  <c r="J67" i="10" s="1"/>
  <c r="K67" i="10" a="1"/>
  <c r="K67" i="10" s="1"/>
  <c r="L67" i="10" a="1"/>
  <c r="L67" i="10" s="1"/>
  <c r="I68" i="10" a="1"/>
  <c r="I68" i="10" s="1"/>
  <c r="J68" i="10" a="1"/>
  <c r="J68" i="10" s="1"/>
  <c r="K68" i="10" a="1"/>
  <c r="K68" i="10" s="1"/>
  <c r="L68" i="10" a="1"/>
  <c r="L68" i="10" s="1"/>
  <c r="I69" i="10" a="1"/>
  <c r="I69" i="10" s="1"/>
  <c r="J69" i="10" a="1"/>
  <c r="J69" i="10" s="1"/>
  <c r="K69" i="10" a="1"/>
  <c r="K69" i="10" s="1"/>
  <c r="L69" i="10" a="1"/>
  <c r="L69" i="10" s="1"/>
  <c r="I70" i="10" a="1"/>
  <c r="I70" i="10" s="1"/>
  <c r="J70" i="10" a="1"/>
  <c r="J70" i="10" s="1"/>
  <c r="K70" i="10" a="1"/>
  <c r="K70" i="10" s="1"/>
  <c r="L70" i="10" a="1"/>
  <c r="L70" i="10" s="1"/>
  <c r="I71" i="10" a="1"/>
  <c r="I71" i="10" s="1"/>
  <c r="J71" i="10" a="1"/>
  <c r="J71" i="10" s="1"/>
  <c r="K71" i="10" a="1"/>
  <c r="K71" i="10" s="1"/>
  <c r="L71" i="10" a="1"/>
  <c r="L71" i="10" s="1"/>
  <c r="I72" i="10" a="1"/>
  <c r="I72" i="10" s="1"/>
  <c r="J72" i="10" a="1"/>
  <c r="J72" i="10" s="1"/>
  <c r="K72" i="10" a="1"/>
  <c r="K72" i="10" s="1"/>
  <c r="L72" i="10" a="1"/>
  <c r="L72" i="10" s="1"/>
  <c r="I73" i="10" a="1"/>
  <c r="I73" i="10" s="1"/>
  <c r="J73" i="10" a="1"/>
  <c r="J73" i="10" s="1"/>
  <c r="K73" i="10" a="1"/>
  <c r="K73" i="10" s="1"/>
  <c r="L73" i="10" a="1"/>
  <c r="L73" i="10" s="1"/>
  <c r="I74" i="10" a="1"/>
  <c r="I74" i="10" s="1"/>
  <c r="J74" i="10" a="1"/>
  <c r="J74" i="10" s="1"/>
  <c r="K74" i="10" a="1"/>
  <c r="K74" i="10" s="1"/>
  <c r="L74" i="10" a="1"/>
  <c r="L74" i="10" s="1"/>
  <c r="I75" i="10" a="1"/>
  <c r="I75" i="10" s="1"/>
  <c r="J75" i="10" a="1"/>
  <c r="J75" i="10" s="1"/>
  <c r="K75" i="10" a="1"/>
  <c r="K75" i="10" s="1"/>
  <c r="L75" i="10" a="1"/>
  <c r="L75" i="10" s="1"/>
  <c r="I76" i="10" a="1"/>
  <c r="I76" i="10" s="1"/>
  <c r="J76" i="10" a="1"/>
  <c r="J76" i="10" s="1"/>
  <c r="K76" i="10" a="1"/>
  <c r="K76" i="10" s="1"/>
  <c r="L76" i="10" a="1"/>
  <c r="L76" i="10" s="1"/>
  <c r="I77" i="10" a="1"/>
  <c r="I77" i="10" s="1"/>
  <c r="J77" i="10" a="1"/>
  <c r="J77" i="10" s="1"/>
  <c r="K77" i="10" a="1"/>
  <c r="K77" i="10" s="1"/>
  <c r="L77" i="10" a="1"/>
  <c r="L77" i="10" s="1"/>
  <c r="I78" i="10" a="1"/>
  <c r="I78" i="10" s="1"/>
  <c r="J78" i="10" a="1"/>
  <c r="J78" i="10" s="1"/>
  <c r="K78" i="10" a="1"/>
  <c r="K78" i="10" s="1"/>
  <c r="L78" i="10" a="1"/>
  <c r="L78" i="10" s="1"/>
  <c r="I79" i="10" a="1"/>
  <c r="I79" i="10" s="1"/>
  <c r="J79" i="10" a="1"/>
  <c r="J79" i="10" s="1"/>
  <c r="K79" i="10" a="1"/>
  <c r="K79" i="10" s="1"/>
  <c r="L79" i="10" a="1"/>
  <c r="L79" i="10" s="1"/>
  <c r="I80" i="10" a="1"/>
  <c r="I80" i="10" s="1"/>
  <c r="J80" i="10" a="1"/>
  <c r="J80" i="10" s="1"/>
  <c r="K80" i="10" a="1"/>
  <c r="K80" i="10" s="1"/>
  <c r="L80" i="10" a="1"/>
  <c r="L80" i="10" s="1"/>
  <c r="I81" i="10" a="1"/>
  <c r="I81" i="10" s="1"/>
  <c r="J81" i="10" a="1"/>
  <c r="J81" i="10" s="1"/>
  <c r="K81" i="10" a="1"/>
  <c r="K81" i="10" s="1"/>
  <c r="L81" i="10" a="1"/>
  <c r="L81" i="10" s="1"/>
  <c r="I82" i="10" a="1"/>
  <c r="I82" i="10" s="1"/>
  <c r="J82" i="10" a="1"/>
  <c r="J82" i="10" s="1"/>
  <c r="K82" i="10" a="1"/>
  <c r="K82" i="10" s="1"/>
  <c r="L82" i="10" a="1"/>
  <c r="L82" i="10" s="1"/>
  <c r="I83" i="10" a="1"/>
  <c r="I83" i="10" s="1"/>
  <c r="J83" i="10" a="1"/>
  <c r="J83" i="10" s="1"/>
  <c r="K83" i="10" a="1"/>
  <c r="K83" i="10" s="1"/>
  <c r="L83" i="10" a="1"/>
  <c r="L83" i="10" s="1"/>
  <c r="I84" i="10" a="1"/>
  <c r="I84" i="10" s="1"/>
  <c r="J84" i="10" a="1"/>
  <c r="J84" i="10" s="1"/>
  <c r="K84" i="10" a="1"/>
  <c r="K84" i="10" s="1"/>
  <c r="L84" i="10" a="1"/>
  <c r="L84" i="10" s="1"/>
  <c r="I85" i="10" a="1"/>
  <c r="I85" i="10" s="1"/>
  <c r="J85" i="10" a="1"/>
  <c r="J85" i="10" s="1"/>
  <c r="K85" i="10" a="1"/>
  <c r="K85" i="10" s="1"/>
  <c r="L85" i="10" a="1"/>
  <c r="L85" i="10" s="1"/>
  <c r="I86" i="10" a="1"/>
  <c r="I86" i="10" s="1"/>
  <c r="J86" i="10" a="1"/>
  <c r="J86" i="10" s="1"/>
  <c r="K86" i="10" a="1"/>
  <c r="K86" i="10" s="1"/>
  <c r="L86" i="10" a="1"/>
  <c r="L86" i="10" s="1"/>
  <c r="I87" i="10" a="1"/>
  <c r="I87" i="10" s="1"/>
  <c r="J87" i="10" a="1"/>
  <c r="J87" i="10" s="1"/>
  <c r="K87" i="10" a="1"/>
  <c r="K87" i="10" s="1"/>
  <c r="L87" i="10" a="1"/>
  <c r="L87" i="10" s="1"/>
  <c r="I88" i="10" a="1"/>
  <c r="I88" i="10" s="1"/>
  <c r="J88" i="10" a="1"/>
  <c r="J88" i="10" s="1"/>
  <c r="K88" i="10" a="1"/>
  <c r="K88" i="10" s="1"/>
  <c r="L88" i="10" a="1"/>
  <c r="L88" i="10" s="1"/>
  <c r="I89" i="10" a="1"/>
  <c r="I89" i="10" s="1"/>
  <c r="J89" i="10" a="1"/>
  <c r="J89" i="10" s="1"/>
  <c r="K89" i="10" a="1"/>
  <c r="K89" i="10" s="1"/>
  <c r="L89" i="10" a="1"/>
  <c r="L89" i="10" s="1"/>
  <c r="I90" i="10" a="1"/>
  <c r="I90" i="10" s="1"/>
  <c r="J90" i="10" a="1"/>
  <c r="J90" i="10" s="1"/>
  <c r="K90" i="10" a="1"/>
  <c r="K90" i="10" s="1"/>
  <c r="L90" i="10" a="1"/>
  <c r="L90" i="10" s="1"/>
  <c r="I91" i="10" a="1"/>
  <c r="I91" i="10" s="1"/>
  <c r="J91" i="10" a="1"/>
  <c r="J91" i="10" s="1"/>
  <c r="K91" i="10" a="1"/>
  <c r="K91" i="10" s="1"/>
  <c r="L91" i="10" a="1"/>
  <c r="L91" i="10" s="1"/>
  <c r="I92" i="10" a="1"/>
  <c r="I92" i="10" s="1"/>
  <c r="J92" i="10" a="1"/>
  <c r="J92" i="10" s="1"/>
  <c r="K92" i="10" a="1"/>
  <c r="K92" i="10" s="1"/>
  <c r="L92" i="10" a="1"/>
  <c r="L92" i="10" s="1"/>
  <c r="I93" i="10" a="1"/>
  <c r="I93" i="10" s="1"/>
  <c r="J93" i="10" a="1"/>
  <c r="J93" i="10" s="1"/>
  <c r="K93" i="10" a="1"/>
  <c r="K93" i="10" s="1"/>
  <c r="L93" i="10" a="1"/>
  <c r="L93" i="10" s="1"/>
  <c r="I94" i="10" a="1"/>
  <c r="I94" i="10" s="1"/>
  <c r="J94" i="10" a="1"/>
  <c r="J94" i="10" s="1"/>
  <c r="K94" i="10" a="1"/>
  <c r="K94" i="10" s="1"/>
  <c r="L94" i="10" a="1"/>
  <c r="L94" i="10" s="1"/>
  <c r="I95" i="10" a="1"/>
  <c r="I95" i="10" s="1"/>
  <c r="J95" i="10" a="1"/>
  <c r="J95" i="10" s="1"/>
  <c r="K95" i="10" a="1"/>
  <c r="K95" i="10" s="1"/>
  <c r="L95" i="10" a="1"/>
  <c r="L95" i="10" s="1"/>
  <c r="I96" i="10" a="1"/>
  <c r="I96" i="10" s="1"/>
  <c r="J96" i="10" a="1"/>
  <c r="J96" i="10" s="1"/>
  <c r="K96" i="10" a="1"/>
  <c r="K96" i="10" s="1"/>
  <c r="L96" i="10" a="1"/>
  <c r="L96" i="10" s="1"/>
  <c r="I97" i="10" a="1"/>
  <c r="I97" i="10" s="1"/>
  <c r="J97" i="10" a="1"/>
  <c r="J97" i="10" s="1"/>
  <c r="K97" i="10" a="1"/>
  <c r="K97" i="10" s="1"/>
  <c r="L97" i="10" a="1"/>
  <c r="L97" i="10" s="1"/>
  <c r="I98" i="10" a="1"/>
  <c r="I98" i="10" s="1"/>
  <c r="J98" i="10" a="1"/>
  <c r="J98" i="10" s="1"/>
  <c r="K98" i="10" a="1"/>
  <c r="K98" i="10" s="1"/>
  <c r="L98" i="10" a="1"/>
  <c r="L98" i="10" s="1"/>
  <c r="I99" i="10" a="1"/>
  <c r="I99" i="10" s="1"/>
  <c r="J99" i="10" a="1"/>
  <c r="J99" i="10" s="1"/>
  <c r="K99" i="10" a="1"/>
  <c r="K99" i="10" s="1"/>
  <c r="L99" i="10" a="1"/>
  <c r="L99" i="10" s="1"/>
  <c r="I100" i="10" a="1"/>
  <c r="I100" i="10" s="1"/>
  <c r="J100" i="10" a="1"/>
  <c r="J100" i="10" s="1"/>
  <c r="K100" i="10" a="1"/>
  <c r="K100" i="10" s="1"/>
  <c r="L100" i="10" a="1"/>
  <c r="L100" i="10" s="1"/>
  <c r="I101" i="10" a="1"/>
  <c r="I101" i="10" s="1"/>
  <c r="J101" i="10" a="1"/>
  <c r="J101" i="10" s="1"/>
  <c r="K101" i="10" a="1"/>
  <c r="K101" i="10" s="1"/>
  <c r="L101" i="10" a="1"/>
  <c r="L101" i="10" s="1"/>
  <c r="I102" i="10" a="1"/>
  <c r="I102" i="10" s="1"/>
  <c r="J102" i="10" a="1"/>
  <c r="J102" i="10" s="1"/>
  <c r="K102" i="10" a="1"/>
  <c r="K102" i="10" s="1"/>
  <c r="L102" i="10" a="1"/>
  <c r="L102" i="10" s="1"/>
  <c r="I103" i="10" a="1"/>
  <c r="I103" i="10" s="1"/>
  <c r="J103" i="10" a="1"/>
  <c r="J103" i="10" s="1"/>
  <c r="K103" i="10" a="1"/>
  <c r="K103" i="10" s="1"/>
  <c r="L103" i="10" a="1"/>
  <c r="L103" i="10" s="1"/>
  <c r="I104" i="10" a="1"/>
  <c r="I104" i="10" s="1"/>
  <c r="J104" i="10" a="1"/>
  <c r="J104" i="10" s="1"/>
  <c r="K104" i="10" a="1"/>
  <c r="K104" i="10" s="1"/>
  <c r="L104" i="10" a="1"/>
  <c r="L104" i="10" s="1"/>
  <c r="I105" i="10" a="1"/>
  <c r="I105" i="10" s="1"/>
  <c r="J105" i="10" a="1"/>
  <c r="J105" i="10" s="1"/>
  <c r="K105" i="10" a="1"/>
  <c r="K105" i="10" s="1"/>
  <c r="L105" i="10" a="1"/>
  <c r="L105" i="10" s="1"/>
  <c r="I106" i="10" a="1"/>
  <c r="I106" i="10" s="1"/>
  <c r="J106" i="10" a="1"/>
  <c r="J106" i="10" s="1"/>
  <c r="K106" i="10" a="1"/>
  <c r="K106" i="10" s="1"/>
  <c r="L106" i="10" a="1"/>
  <c r="L106" i="10" s="1"/>
  <c r="I107" i="10" a="1"/>
  <c r="I107" i="10" s="1"/>
  <c r="J107" i="10" a="1"/>
  <c r="J107" i="10" s="1"/>
  <c r="K107" i="10" a="1"/>
  <c r="K107" i="10" s="1"/>
  <c r="L107" i="10" a="1"/>
  <c r="L107" i="10" s="1"/>
  <c r="I108" i="10" a="1"/>
  <c r="I108" i="10" s="1"/>
  <c r="J108" i="10" a="1"/>
  <c r="J108" i="10" s="1"/>
  <c r="K108" i="10" a="1"/>
  <c r="K108" i="10" s="1"/>
  <c r="L108" i="10" a="1"/>
  <c r="L108" i="10" s="1"/>
  <c r="I109" i="10" a="1"/>
  <c r="I109" i="10" s="1"/>
  <c r="J109" i="10" a="1"/>
  <c r="J109" i="10" s="1"/>
  <c r="K109" i="10" a="1"/>
  <c r="K109" i="10" s="1"/>
  <c r="L109" i="10" a="1"/>
  <c r="L109" i="10" s="1"/>
  <c r="I110" i="10" a="1"/>
  <c r="I110" i="10" s="1"/>
  <c r="J110" i="10" a="1"/>
  <c r="J110" i="10" s="1"/>
  <c r="K110" i="10" a="1"/>
  <c r="K110" i="10" s="1"/>
  <c r="L110" i="10" a="1"/>
  <c r="L110" i="10" s="1"/>
  <c r="I111" i="10" a="1"/>
  <c r="I111" i="10" s="1"/>
  <c r="J111" i="10" a="1"/>
  <c r="J111" i="10" s="1"/>
  <c r="K111" i="10" a="1"/>
  <c r="K111" i="10" s="1"/>
  <c r="L111" i="10" a="1"/>
  <c r="L111" i="10" s="1"/>
  <c r="I112" i="10" a="1"/>
  <c r="I112" i="10" s="1"/>
  <c r="J112" i="10" a="1"/>
  <c r="J112" i="10" s="1"/>
  <c r="K112" i="10" a="1"/>
  <c r="K112" i="10" s="1"/>
  <c r="L112" i="10" a="1"/>
  <c r="L112" i="10" s="1"/>
  <c r="L3" i="10" a="1"/>
  <c r="L3" i="10" s="1"/>
  <c r="K3" i="10" a="1"/>
  <c r="K3" i="10" s="1"/>
  <c r="J3" i="10" a="1"/>
  <c r="J3" i="10" s="1"/>
  <c r="I3" i="10" a="1"/>
  <c r="I3" i="10" s="1"/>
  <c r="S3" i="10" a="1"/>
  <c r="S3" i="10" s="1"/>
  <c r="S4" i="10" a="1"/>
  <c r="S4" i="10" s="1"/>
  <c r="S5" i="10" a="1"/>
  <c r="S5" i="10" s="1"/>
  <c r="S6" i="10" a="1"/>
  <c r="S6" i="10" s="1"/>
  <c r="S7" i="10" a="1"/>
  <c r="S7" i="10" s="1"/>
  <c r="S8" i="10" a="1"/>
  <c r="S8" i="10" s="1"/>
  <c r="S9" i="10" a="1"/>
  <c r="S9" i="10" s="1"/>
  <c r="S10" i="10" a="1"/>
  <c r="S10" i="10" s="1"/>
  <c r="S11" i="10" a="1"/>
  <c r="S11" i="10" s="1"/>
  <c r="S12" i="10" a="1"/>
  <c r="S12" i="10" s="1"/>
  <c r="S13" i="10" a="1"/>
  <c r="S13" i="10" s="1"/>
  <c r="S14" i="10" a="1"/>
  <c r="S14" i="10" s="1"/>
  <c r="S15" i="10" a="1"/>
  <c r="S15" i="10" s="1"/>
  <c r="S16" i="10" a="1"/>
  <c r="S16" i="10" s="1"/>
  <c r="S17" i="10" a="1"/>
  <c r="S17" i="10" s="1"/>
  <c r="S18" i="10" a="1"/>
  <c r="S18" i="10" s="1"/>
  <c r="S19" i="10" a="1"/>
  <c r="S19" i="10" s="1"/>
  <c r="S20" i="10" a="1"/>
  <c r="S20" i="10" s="1"/>
  <c r="S21" i="10" a="1"/>
  <c r="S21" i="10" s="1"/>
  <c r="S22" i="10" a="1"/>
  <c r="S22" i="10" s="1"/>
  <c r="S23" i="10" a="1"/>
  <c r="S23" i="10" s="1"/>
  <c r="S24" i="10" a="1"/>
  <c r="S24" i="10" s="1"/>
  <c r="S25" i="10" a="1"/>
  <c r="S25" i="10" s="1"/>
  <c r="S26" i="10" a="1"/>
  <c r="S26" i="10" s="1"/>
  <c r="S27" i="10" a="1"/>
  <c r="S27" i="10" s="1"/>
  <c r="S28" i="10" a="1"/>
  <c r="S28" i="10" s="1"/>
  <c r="S29" i="10" a="1"/>
  <c r="S29" i="10" s="1"/>
  <c r="S30" i="10" a="1"/>
  <c r="S30" i="10" s="1"/>
  <c r="S31" i="10" a="1"/>
  <c r="S31" i="10" s="1"/>
  <c r="S32" i="10" a="1"/>
  <c r="S32" i="10" s="1"/>
  <c r="S33" i="10" a="1"/>
  <c r="S33" i="10" s="1"/>
  <c r="S34" i="10" a="1"/>
  <c r="S34" i="10" s="1"/>
  <c r="S35" i="10" a="1"/>
  <c r="S35" i="10" s="1"/>
  <c r="S36" i="10" a="1"/>
  <c r="S36" i="10" s="1"/>
  <c r="S37" i="10" a="1"/>
  <c r="S37" i="10" s="1"/>
  <c r="S38" i="10" a="1"/>
  <c r="S38" i="10" s="1"/>
  <c r="S39" i="10" a="1"/>
  <c r="S39" i="10" s="1"/>
  <c r="S40" i="10" a="1"/>
  <c r="S40" i="10" s="1"/>
  <c r="S41" i="10" a="1"/>
  <c r="S41" i="10" s="1"/>
  <c r="S42" i="10" a="1"/>
  <c r="S42" i="10" s="1"/>
  <c r="S43" i="10" a="1"/>
  <c r="S43" i="10" s="1"/>
  <c r="S44" i="10" a="1"/>
  <c r="S44" i="10" s="1"/>
  <c r="S45" i="10" a="1"/>
  <c r="S45" i="10" s="1"/>
  <c r="S46" i="10" a="1"/>
  <c r="S46" i="10" s="1"/>
  <c r="S47" i="10" a="1"/>
  <c r="S47" i="10" s="1"/>
  <c r="S48" i="10" a="1"/>
  <c r="S48" i="10" s="1"/>
  <c r="S49" i="10" a="1"/>
  <c r="S49" i="10" s="1"/>
  <c r="S50" i="10" a="1"/>
  <c r="S50" i="10" s="1"/>
  <c r="S51" i="10" a="1"/>
  <c r="S51" i="10" s="1"/>
  <c r="S52" i="10" a="1"/>
  <c r="S52" i="10" s="1"/>
  <c r="S53" i="10" a="1"/>
  <c r="S53" i="10" s="1"/>
  <c r="S54" i="10" a="1"/>
  <c r="S54" i="10" s="1"/>
  <c r="S55" i="10" a="1"/>
  <c r="S55" i="10" s="1"/>
  <c r="S56" i="10" a="1"/>
  <c r="S56" i="10" s="1"/>
  <c r="S57" i="10" a="1"/>
  <c r="S57" i="10" s="1"/>
  <c r="S58" i="10" a="1"/>
  <c r="S58" i="10" s="1"/>
  <c r="S59" i="10" a="1"/>
  <c r="S59" i="10" s="1"/>
  <c r="S60" i="10" a="1"/>
  <c r="S60" i="10" s="1"/>
  <c r="S61" i="10" a="1"/>
  <c r="S61" i="10" s="1"/>
  <c r="S62" i="10" a="1"/>
  <c r="S62" i="10" s="1"/>
  <c r="S63" i="10" a="1"/>
  <c r="S63" i="10" s="1"/>
  <c r="S64" i="10" a="1"/>
  <c r="S64" i="10" s="1"/>
  <c r="S65" i="10" a="1"/>
  <c r="S65" i="10" s="1"/>
  <c r="S66" i="10" a="1"/>
  <c r="S66" i="10" s="1"/>
  <c r="S67" i="10" a="1"/>
  <c r="S67" i="10" s="1"/>
  <c r="S68" i="10" a="1"/>
  <c r="S68" i="10" s="1"/>
  <c r="S69" i="10" a="1"/>
  <c r="S69" i="10" s="1"/>
  <c r="S70" i="10" a="1"/>
  <c r="S70" i="10" s="1"/>
  <c r="S71" i="10" a="1"/>
  <c r="S71" i="10" s="1"/>
  <c r="S72" i="10" a="1"/>
  <c r="S72" i="10" s="1"/>
  <c r="S73" i="10" a="1"/>
  <c r="S73" i="10" s="1"/>
  <c r="S74" i="10" a="1"/>
  <c r="S74" i="10" s="1"/>
  <c r="S75" i="10" a="1"/>
  <c r="S75" i="10" s="1"/>
  <c r="S76" i="10" a="1"/>
  <c r="S76" i="10" s="1"/>
  <c r="S77" i="10" a="1"/>
  <c r="S77" i="10" s="1"/>
  <c r="S78" i="10" a="1"/>
  <c r="S78" i="10" s="1"/>
  <c r="S79" i="10" a="1"/>
  <c r="S79" i="10" s="1"/>
  <c r="S80" i="10" a="1"/>
  <c r="S80" i="10" s="1"/>
  <c r="S81" i="10" a="1"/>
  <c r="S81" i="10" s="1"/>
  <c r="S82" i="10" a="1"/>
  <c r="S82" i="10" s="1"/>
  <c r="S83" i="10" a="1"/>
  <c r="S83" i="10" s="1"/>
  <c r="S84" i="10" a="1"/>
  <c r="S84" i="10" s="1"/>
  <c r="S85" i="10" a="1"/>
  <c r="S85" i="10" s="1"/>
  <c r="S86" i="10" a="1"/>
  <c r="S86" i="10" s="1"/>
  <c r="S87" i="10" a="1"/>
  <c r="S87" i="10" s="1"/>
  <c r="S88" i="10" a="1"/>
  <c r="S88" i="10" s="1"/>
  <c r="S89" i="10" a="1"/>
  <c r="S89" i="10" s="1"/>
  <c r="S90" i="10" a="1"/>
  <c r="S90" i="10" s="1"/>
  <c r="S91" i="10" a="1"/>
  <c r="S91" i="10" s="1"/>
  <c r="S92" i="10" a="1"/>
  <c r="S92" i="10" s="1"/>
  <c r="S93" i="10" a="1"/>
  <c r="S93" i="10" s="1"/>
  <c r="S94" i="10" a="1"/>
  <c r="S94" i="10" s="1"/>
  <c r="S95" i="10" a="1"/>
  <c r="S95" i="10" s="1"/>
  <c r="S96" i="10" a="1"/>
  <c r="S96" i="10" s="1"/>
  <c r="S97" i="10" a="1"/>
  <c r="S97" i="10" s="1"/>
  <c r="S98" i="10" a="1"/>
  <c r="S98" i="10" s="1"/>
  <c r="S99" i="10" a="1"/>
  <c r="S99" i="10" s="1"/>
  <c r="S100" i="10" a="1"/>
  <c r="S100" i="10" s="1"/>
  <c r="S101" i="10" a="1"/>
  <c r="S101" i="10" s="1"/>
  <c r="S102" i="10" a="1"/>
  <c r="S102" i="10" s="1"/>
  <c r="S103" i="10" a="1"/>
  <c r="S103" i="10" s="1"/>
  <c r="S104" i="10" a="1"/>
  <c r="S104" i="10" s="1"/>
  <c r="S105" i="10" a="1"/>
  <c r="S105" i="10" s="1"/>
  <c r="S106" i="10" a="1"/>
  <c r="S106" i="10" s="1"/>
  <c r="S107" i="10" a="1"/>
  <c r="S107" i="10" s="1"/>
  <c r="S108" i="10" a="1"/>
  <c r="S108" i="10" s="1"/>
  <c r="S109" i="10" a="1"/>
  <c r="S109" i="10" s="1"/>
  <c r="S110" i="10" a="1"/>
  <c r="S110" i="10" s="1"/>
  <c r="S111" i="10" a="1"/>
  <c r="S111" i="10" s="1"/>
  <c r="S112" i="10" a="1"/>
  <c r="S112" i="10" s="1"/>
  <c r="O4" i="10" a="1"/>
  <c r="O4" i="10" s="1"/>
  <c r="P4" i="10" a="1"/>
  <c r="P4" i="10" s="1"/>
  <c r="Q4" i="10" a="1"/>
  <c r="Q4" i="10" s="1"/>
  <c r="R4" i="10" a="1"/>
  <c r="R4" i="10" s="1"/>
  <c r="T4" i="10" a="1"/>
  <c r="T4" i="10" s="1"/>
  <c r="O5" i="10" a="1"/>
  <c r="O5" i="10" s="1"/>
  <c r="P5" i="10" a="1"/>
  <c r="P5" i="10" s="1"/>
  <c r="Q5" i="10" a="1"/>
  <c r="Q5" i="10" s="1"/>
  <c r="R5" i="10" a="1"/>
  <c r="R5" i="10" s="1"/>
  <c r="T5" i="10" a="1"/>
  <c r="T5" i="10" s="1"/>
  <c r="O6" i="10" a="1"/>
  <c r="O6" i="10" s="1"/>
  <c r="P6" i="10" a="1"/>
  <c r="P6" i="10" s="1"/>
  <c r="Q6" i="10" a="1"/>
  <c r="Q6" i="10" s="1"/>
  <c r="R6" i="10" a="1"/>
  <c r="R6" i="10" s="1"/>
  <c r="T6" i="10" a="1"/>
  <c r="T6" i="10" s="1"/>
  <c r="O7" i="10" a="1"/>
  <c r="O7" i="10" s="1"/>
  <c r="P7" i="10" a="1"/>
  <c r="P7" i="10" s="1"/>
  <c r="Q7" i="10" a="1"/>
  <c r="Q7" i="10" s="1"/>
  <c r="R7" i="10" a="1"/>
  <c r="R7" i="10" s="1"/>
  <c r="T7" i="10" a="1"/>
  <c r="T7" i="10" s="1"/>
  <c r="O8" i="10" a="1"/>
  <c r="O8" i="10" s="1"/>
  <c r="P8" i="10" a="1"/>
  <c r="P8" i="10" s="1"/>
  <c r="Q8" i="10" a="1"/>
  <c r="Q8" i="10" s="1"/>
  <c r="R8" i="10" a="1"/>
  <c r="R8" i="10" s="1"/>
  <c r="T8" i="10" a="1"/>
  <c r="T8" i="10" s="1"/>
  <c r="O9" i="10" a="1"/>
  <c r="O9" i="10" s="1"/>
  <c r="P9" i="10" a="1"/>
  <c r="P9" i="10" s="1"/>
  <c r="Q9" i="10" a="1"/>
  <c r="Q9" i="10" s="1"/>
  <c r="R9" i="10" a="1"/>
  <c r="R9" i="10" s="1"/>
  <c r="T9" i="10" a="1"/>
  <c r="T9" i="10" s="1"/>
  <c r="O10" i="10" a="1"/>
  <c r="O10" i="10" s="1"/>
  <c r="P10" i="10" a="1"/>
  <c r="P10" i="10" s="1"/>
  <c r="Q10" i="10" a="1"/>
  <c r="Q10" i="10" s="1"/>
  <c r="R10" i="10" a="1"/>
  <c r="R10" i="10" s="1"/>
  <c r="T10" i="10" a="1"/>
  <c r="T10" i="10" s="1"/>
  <c r="O11" i="10" a="1"/>
  <c r="O11" i="10" s="1"/>
  <c r="P11" i="10" a="1"/>
  <c r="P11" i="10" s="1"/>
  <c r="Q11" i="10" a="1"/>
  <c r="Q11" i="10" s="1"/>
  <c r="R11" i="10" a="1"/>
  <c r="R11" i="10" s="1"/>
  <c r="T11" i="10" a="1"/>
  <c r="T11" i="10" s="1"/>
  <c r="O12" i="10" a="1"/>
  <c r="O12" i="10" s="1"/>
  <c r="P12" i="10" a="1"/>
  <c r="P12" i="10" s="1"/>
  <c r="Q12" i="10" a="1"/>
  <c r="Q12" i="10" s="1"/>
  <c r="R12" i="10" a="1"/>
  <c r="R12" i="10" s="1"/>
  <c r="T12" i="10" a="1"/>
  <c r="T12" i="10" s="1"/>
  <c r="O13" i="10" a="1"/>
  <c r="O13" i="10" s="1"/>
  <c r="P13" i="10" a="1"/>
  <c r="P13" i="10" s="1"/>
  <c r="Q13" i="10" a="1"/>
  <c r="Q13" i="10" s="1"/>
  <c r="R13" i="10" a="1"/>
  <c r="R13" i="10" s="1"/>
  <c r="T13" i="10" a="1"/>
  <c r="T13" i="10" s="1"/>
  <c r="O14" i="10" a="1"/>
  <c r="O14" i="10" s="1"/>
  <c r="P14" i="10" a="1"/>
  <c r="P14" i="10" s="1"/>
  <c r="Q14" i="10" a="1"/>
  <c r="Q14" i="10" s="1"/>
  <c r="R14" i="10" a="1"/>
  <c r="R14" i="10" s="1"/>
  <c r="T14" i="10" a="1"/>
  <c r="T14" i="10" s="1"/>
  <c r="O15" i="10" a="1"/>
  <c r="O15" i="10" s="1"/>
  <c r="P15" i="10" a="1"/>
  <c r="P15" i="10" s="1"/>
  <c r="Q15" i="10" a="1"/>
  <c r="Q15" i="10" s="1"/>
  <c r="R15" i="10" a="1"/>
  <c r="R15" i="10" s="1"/>
  <c r="T15" i="10" a="1"/>
  <c r="T15" i="10" s="1"/>
  <c r="O16" i="10" a="1"/>
  <c r="O16" i="10" s="1"/>
  <c r="P16" i="10" a="1"/>
  <c r="P16" i="10" s="1"/>
  <c r="Q16" i="10" a="1"/>
  <c r="Q16" i="10" s="1"/>
  <c r="R16" i="10" a="1"/>
  <c r="R16" i="10" s="1"/>
  <c r="T16" i="10" a="1"/>
  <c r="T16" i="10" s="1"/>
  <c r="O17" i="10" a="1"/>
  <c r="O17" i="10" s="1"/>
  <c r="P17" i="10" a="1"/>
  <c r="P17" i="10" s="1"/>
  <c r="Q17" i="10" a="1"/>
  <c r="Q17" i="10" s="1"/>
  <c r="R17" i="10" a="1"/>
  <c r="R17" i="10" s="1"/>
  <c r="T17" i="10" a="1"/>
  <c r="T17" i="10" s="1"/>
  <c r="O18" i="10" a="1"/>
  <c r="O18" i="10" s="1"/>
  <c r="P18" i="10" a="1"/>
  <c r="P18" i="10" s="1"/>
  <c r="Q18" i="10" a="1"/>
  <c r="Q18" i="10" s="1"/>
  <c r="R18" i="10" a="1"/>
  <c r="R18" i="10" s="1"/>
  <c r="T18" i="10" a="1"/>
  <c r="T18" i="10" s="1"/>
  <c r="O19" i="10" a="1"/>
  <c r="O19" i="10" s="1"/>
  <c r="P19" i="10" a="1"/>
  <c r="P19" i="10" s="1"/>
  <c r="Q19" i="10" a="1"/>
  <c r="Q19" i="10" s="1"/>
  <c r="R19" i="10" a="1"/>
  <c r="R19" i="10" s="1"/>
  <c r="T19" i="10" a="1"/>
  <c r="T19" i="10" s="1"/>
  <c r="O20" i="10" a="1"/>
  <c r="O20" i="10" s="1"/>
  <c r="P20" i="10" a="1"/>
  <c r="P20" i="10" s="1"/>
  <c r="Q20" i="10" a="1"/>
  <c r="Q20" i="10" s="1"/>
  <c r="R20" i="10" a="1"/>
  <c r="R20" i="10" s="1"/>
  <c r="T20" i="10" a="1"/>
  <c r="T20" i="10" s="1"/>
  <c r="O21" i="10" a="1"/>
  <c r="O21" i="10" s="1"/>
  <c r="P21" i="10" a="1"/>
  <c r="P21" i="10" s="1"/>
  <c r="Q21" i="10" a="1"/>
  <c r="Q21" i="10" s="1"/>
  <c r="R21" i="10" a="1"/>
  <c r="R21" i="10" s="1"/>
  <c r="T21" i="10" a="1"/>
  <c r="T21" i="10" s="1"/>
  <c r="O22" i="10" a="1"/>
  <c r="O22" i="10" s="1"/>
  <c r="P22" i="10" a="1"/>
  <c r="P22" i="10" s="1"/>
  <c r="Q22" i="10" a="1"/>
  <c r="Q22" i="10" s="1"/>
  <c r="R22" i="10" a="1"/>
  <c r="R22" i="10" s="1"/>
  <c r="T22" i="10" a="1"/>
  <c r="T22" i="10" s="1"/>
  <c r="O23" i="10" a="1"/>
  <c r="O23" i="10" s="1"/>
  <c r="P23" i="10" a="1"/>
  <c r="P23" i="10" s="1"/>
  <c r="Q23" i="10" a="1"/>
  <c r="Q23" i="10" s="1"/>
  <c r="R23" i="10" a="1"/>
  <c r="R23" i="10" s="1"/>
  <c r="T23" i="10" a="1"/>
  <c r="T23" i="10" s="1"/>
  <c r="O24" i="10" a="1"/>
  <c r="O24" i="10" s="1"/>
  <c r="P24" i="10" a="1"/>
  <c r="P24" i="10" s="1"/>
  <c r="Q24" i="10" a="1"/>
  <c r="Q24" i="10" s="1"/>
  <c r="R24" i="10" a="1"/>
  <c r="R24" i="10" s="1"/>
  <c r="T24" i="10" a="1"/>
  <c r="T24" i="10" s="1"/>
  <c r="O25" i="10" a="1"/>
  <c r="O25" i="10" s="1"/>
  <c r="P25" i="10" a="1"/>
  <c r="P25" i="10" s="1"/>
  <c r="Q25" i="10" a="1"/>
  <c r="Q25" i="10" s="1"/>
  <c r="R25" i="10" a="1"/>
  <c r="R25" i="10" s="1"/>
  <c r="T25" i="10" a="1"/>
  <c r="T25" i="10" s="1"/>
  <c r="O26" i="10" a="1"/>
  <c r="O26" i="10" s="1"/>
  <c r="P26" i="10" a="1"/>
  <c r="P26" i="10" s="1"/>
  <c r="Q26" i="10" a="1"/>
  <c r="Q26" i="10" s="1"/>
  <c r="R26" i="10" a="1"/>
  <c r="R26" i="10" s="1"/>
  <c r="T26" i="10" a="1"/>
  <c r="T26" i="10" s="1"/>
  <c r="O27" i="10" a="1"/>
  <c r="O27" i="10" s="1"/>
  <c r="P27" i="10" a="1"/>
  <c r="P27" i="10" s="1"/>
  <c r="Q27" i="10" a="1"/>
  <c r="Q27" i="10" s="1"/>
  <c r="R27" i="10" a="1"/>
  <c r="R27" i="10" s="1"/>
  <c r="T27" i="10" a="1"/>
  <c r="T27" i="10" s="1"/>
  <c r="O28" i="10" a="1"/>
  <c r="O28" i="10" s="1"/>
  <c r="P28" i="10" a="1"/>
  <c r="P28" i="10" s="1"/>
  <c r="Q28" i="10" a="1"/>
  <c r="Q28" i="10" s="1"/>
  <c r="R28" i="10" a="1"/>
  <c r="R28" i="10" s="1"/>
  <c r="T28" i="10" a="1"/>
  <c r="T28" i="10" s="1"/>
  <c r="O29" i="10" a="1"/>
  <c r="O29" i="10" s="1"/>
  <c r="P29" i="10" a="1"/>
  <c r="P29" i="10" s="1"/>
  <c r="Q29" i="10" a="1"/>
  <c r="Q29" i="10" s="1"/>
  <c r="R29" i="10" a="1"/>
  <c r="R29" i="10" s="1"/>
  <c r="T29" i="10" a="1"/>
  <c r="T29" i="10" s="1"/>
  <c r="O30" i="10" a="1"/>
  <c r="O30" i="10" s="1"/>
  <c r="P30" i="10" a="1"/>
  <c r="P30" i="10" s="1"/>
  <c r="Q30" i="10" a="1"/>
  <c r="Q30" i="10" s="1"/>
  <c r="R30" i="10" a="1"/>
  <c r="R30" i="10" s="1"/>
  <c r="T30" i="10" a="1"/>
  <c r="T30" i="10" s="1"/>
  <c r="O31" i="10" a="1"/>
  <c r="O31" i="10" s="1"/>
  <c r="P31" i="10" a="1"/>
  <c r="P31" i="10" s="1"/>
  <c r="Q31" i="10" a="1"/>
  <c r="Q31" i="10" s="1"/>
  <c r="R31" i="10" a="1"/>
  <c r="R31" i="10" s="1"/>
  <c r="T31" i="10" a="1"/>
  <c r="T31" i="10" s="1"/>
  <c r="O32" i="10" a="1"/>
  <c r="O32" i="10" s="1"/>
  <c r="P32" i="10" a="1"/>
  <c r="P32" i="10" s="1"/>
  <c r="Q32" i="10" a="1"/>
  <c r="Q32" i="10" s="1"/>
  <c r="R32" i="10" a="1"/>
  <c r="R32" i="10" s="1"/>
  <c r="T32" i="10" a="1"/>
  <c r="T32" i="10" s="1"/>
  <c r="O33" i="10" a="1"/>
  <c r="O33" i="10" s="1"/>
  <c r="P33" i="10" a="1"/>
  <c r="P33" i="10" s="1"/>
  <c r="Q33" i="10" a="1"/>
  <c r="Q33" i="10" s="1"/>
  <c r="R33" i="10" a="1"/>
  <c r="R33" i="10" s="1"/>
  <c r="T33" i="10" a="1"/>
  <c r="T33" i="10" s="1"/>
  <c r="O34" i="10" a="1"/>
  <c r="O34" i="10" s="1"/>
  <c r="P34" i="10" a="1"/>
  <c r="P34" i="10" s="1"/>
  <c r="Q34" i="10" a="1"/>
  <c r="Q34" i="10" s="1"/>
  <c r="R34" i="10" a="1"/>
  <c r="R34" i="10" s="1"/>
  <c r="T34" i="10" a="1"/>
  <c r="T34" i="10" s="1"/>
  <c r="O35" i="10" a="1"/>
  <c r="O35" i="10" s="1"/>
  <c r="P35" i="10" a="1"/>
  <c r="P35" i="10" s="1"/>
  <c r="Q35" i="10" a="1"/>
  <c r="Q35" i="10" s="1"/>
  <c r="R35" i="10" a="1"/>
  <c r="R35" i="10" s="1"/>
  <c r="T35" i="10" a="1"/>
  <c r="T35" i="10" s="1"/>
  <c r="O36" i="10" a="1"/>
  <c r="O36" i="10" s="1"/>
  <c r="P36" i="10" a="1"/>
  <c r="P36" i="10" s="1"/>
  <c r="Q36" i="10" a="1"/>
  <c r="Q36" i="10" s="1"/>
  <c r="R36" i="10" a="1"/>
  <c r="R36" i="10" s="1"/>
  <c r="T36" i="10" a="1"/>
  <c r="T36" i="10" s="1"/>
  <c r="O37" i="10" a="1"/>
  <c r="O37" i="10" s="1"/>
  <c r="P37" i="10" a="1"/>
  <c r="P37" i="10" s="1"/>
  <c r="Q37" i="10" a="1"/>
  <c r="Q37" i="10" s="1"/>
  <c r="R37" i="10" a="1"/>
  <c r="R37" i="10" s="1"/>
  <c r="T37" i="10" a="1"/>
  <c r="T37" i="10" s="1"/>
  <c r="O38" i="10" a="1"/>
  <c r="O38" i="10" s="1"/>
  <c r="P38" i="10" a="1"/>
  <c r="P38" i="10" s="1"/>
  <c r="Q38" i="10" a="1"/>
  <c r="Q38" i="10" s="1"/>
  <c r="R38" i="10" a="1"/>
  <c r="R38" i="10" s="1"/>
  <c r="T38" i="10" a="1"/>
  <c r="T38" i="10" s="1"/>
  <c r="O39" i="10" a="1"/>
  <c r="O39" i="10" s="1"/>
  <c r="P39" i="10" a="1"/>
  <c r="P39" i="10" s="1"/>
  <c r="Q39" i="10" a="1"/>
  <c r="Q39" i="10" s="1"/>
  <c r="R39" i="10" a="1"/>
  <c r="R39" i="10" s="1"/>
  <c r="T39" i="10" a="1"/>
  <c r="T39" i="10" s="1"/>
  <c r="O40" i="10" a="1"/>
  <c r="O40" i="10" s="1"/>
  <c r="P40" i="10" a="1"/>
  <c r="P40" i="10" s="1"/>
  <c r="Q40" i="10" a="1"/>
  <c r="Q40" i="10" s="1"/>
  <c r="R40" i="10" a="1"/>
  <c r="R40" i="10" s="1"/>
  <c r="T40" i="10" a="1"/>
  <c r="T40" i="10" s="1"/>
  <c r="O41" i="10" a="1"/>
  <c r="O41" i="10" s="1"/>
  <c r="P41" i="10" a="1"/>
  <c r="P41" i="10" s="1"/>
  <c r="Q41" i="10" a="1"/>
  <c r="Q41" i="10" s="1"/>
  <c r="R41" i="10" a="1"/>
  <c r="R41" i="10" s="1"/>
  <c r="T41" i="10" a="1"/>
  <c r="T41" i="10" s="1"/>
  <c r="O42" i="10" a="1"/>
  <c r="O42" i="10" s="1"/>
  <c r="P42" i="10" a="1"/>
  <c r="P42" i="10" s="1"/>
  <c r="Q42" i="10" a="1"/>
  <c r="Q42" i="10" s="1"/>
  <c r="R42" i="10" a="1"/>
  <c r="R42" i="10" s="1"/>
  <c r="T42" i="10" a="1"/>
  <c r="T42" i="10" s="1"/>
  <c r="O43" i="10" a="1"/>
  <c r="O43" i="10" s="1"/>
  <c r="P43" i="10" a="1"/>
  <c r="P43" i="10" s="1"/>
  <c r="Q43" i="10" a="1"/>
  <c r="Q43" i="10" s="1"/>
  <c r="R43" i="10" a="1"/>
  <c r="R43" i="10" s="1"/>
  <c r="T43" i="10" a="1"/>
  <c r="T43" i="10" s="1"/>
  <c r="O44" i="10" a="1"/>
  <c r="O44" i="10" s="1"/>
  <c r="P44" i="10" a="1"/>
  <c r="P44" i="10" s="1"/>
  <c r="Q44" i="10" a="1"/>
  <c r="Q44" i="10" s="1"/>
  <c r="R44" i="10" a="1"/>
  <c r="R44" i="10" s="1"/>
  <c r="T44" i="10" a="1"/>
  <c r="T44" i="10" s="1"/>
  <c r="O45" i="10" a="1"/>
  <c r="O45" i="10" s="1"/>
  <c r="P45" i="10" a="1"/>
  <c r="P45" i="10" s="1"/>
  <c r="Q45" i="10" a="1"/>
  <c r="Q45" i="10" s="1"/>
  <c r="R45" i="10" a="1"/>
  <c r="R45" i="10" s="1"/>
  <c r="T45" i="10" a="1"/>
  <c r="T45" i="10" s="1"/>
  <c r="O46" i="10" a="1"/>
  <c r="O46" i="10" s="1"/>
  <c r="P46" i="10" a="1"/>
  <c r="P46" i="10" s="1"/>
  <c r="Q46" i="10" a="1"/>
  <c r="Q46" i="10" s="1"/>
  <c r="R46" i="10" a="1"/>
  <c r="R46" i="10" s="1"/>
  <c r="T46" i="10" a="1"/>
  <c r="T46" i="10" s="1"/>
  <c r="O47" i="10" a="1"/>
  <c r="O47" i="10" s="1"/>
  <c r="P47" i="10" a="1"/>
  <c r="P47" i="10" s="1"/>
  <c r="Q47" i="10" a="1"/>
  <c r="Q47" i="10" s="1"/>
  <c r="R47" i="10" a="1"/>
  <c r="R47" i="10" s="1"/>
  <c r="T47" i="10" a="1"/>
  <c r="T47" i="10" s="1"/>
  <c r="O48" i="10" a="1"/>
  <c r="O48" i="10" s="1"/>
  <c r="P48" i="10" a="1"/>
  <c r="P48" i="10" s="1"/>
  <c r="Q48" i="10" a="1"/>
  <c r="Q48" i="10" s="1"/>
  <c r="R48" i="10" a="1"/>
  <c r="R48" i="10" s="1"/>
  <c r="T48" i="10" a="1"/>
  <c r="T48" i="10" s="1"/>
  <c r="O49" i="10" a="1"/>
  <c r="O49" i="10" s="1"/>
  <c r="P49" i="10" a="1"/>
  <c r="P49" i="10" s="1"/>
  <c r="Q49" i="10" a="1"/>
  <c r="Q49" i="10" s="1"/>
  <c r="R49" i="10" a="1"/>
  <c r="R49" i="10" s="1"/>
  <c r="T49" i="10" a="1"/>
  <c r="T49" i="10" s="1"/>
  <c r="O50" i="10" a="1"/>
  <c r="O50" i="10" s="1"/>
  <c r="P50" i="10" a="1"/>
  <c r="P50" i="10" s="1"/>
  <c r="Q50" i="10" a="1"/>
  <c r="Q50" i="10" s="1"/>
  <c r="R50" i="10" a="1"/>
  <c r="R50" i="10" s="1"/>
  <c r="T50" i="10" a="1"/>
  <c r="T50" i="10" s="1"/>
  <c r="O51" i="10" a="1"/>
  <c r="O51" i="10" s="1"/>
  <c r="P51" i="10" a="1"/>
  <c r="P51" i="10" s="1"/>
  <c r="Q51" i="10" a="1"/>
  <c r="Q51" i="10" s="1"/>
  <c r="R51" i="10" a="1"/>
  <c r="R51" i="10" s="1"/>
  <c r="T51" i="10" a="1"/>
  <c r="T51" i="10" s="1"/>
  <c r="O52" i="10" a="1"/>
  <c r="O52" i="10" s="1"/>
  <c r="P52" i="10" a="1"/>
  <c r="P52" i="10" s="1"/>
  <c r="Q52" i="10" a="1"/>
  <c r="Q52" i="10" s="1"/>
  <c r="R52" i="10" a="1"/>
  <c r="R52" i="10" s="1"/>
  <c r="T52" i="10" a="1"/>
  <c r="T52" i="10" s="1"/>
  <c r="O53" i="10" a="1"/>
  <c r="O53" i="10" s="1"/>
  <c r="P53" i="10" a="1"/>
  <c r="P53" i="10" s="1"/>
  <c r="Q53" i="10" a="1"/>
  <c r="Q53" i="10" s="1"/>
  <c r="R53" i="10" a="1"/>
  <c r="R53" i="10" s="1"/>
  <c r="T53" i="10" a="1"/>
  <c r="T53" i="10" s="1"/>
  <c r="O54" i="10" a="1"/>
  <c r="O54" i="10" s="1"/>
  <c r="P54" i="10" a="1"/>
  <c r="P54" i="10" s="1"/>
  <c r="Q54" i="10" a="1"/>
  <c r="Q54" i="10" s="1"/>
  <c r="R54" i="10" a="1"/>
  <c r="R54" i="10" s="1"/>
  <c r="T54" i="10" a="1"/>
  <c r="T54" i="10" s="1"/>
  <c r="O55" i="10" a="1"/>
  <c r="O55" i="10" s="1"/>
  <c r="P55" i="10" a="1"/>
  <c r="P55" i="10" s="1"/>
  <c r="Q55" i="10" a="1"/>
  <c r="Q55" i="10" s="1"/>
  <c r="R55" i="10" a="1"/>
  <c r="R55" i="10" s="1"/>
  <c r="T55" i="10" a="1"/>
  <c r="T55" i="10" s="1"/>
  <c r="O56" i="10" a="1"/>
  <c r="O56" i="10" s="1"/>
  <c r="P56" i="10" a="1"/>
  <c r="P56" i="10" s="1"/>
  <c r="Q56" i="10" a="1"/>
  <c r="Q56" i="10" s="1"/>
  <c r="R56" i="10" a="1"/>
  <c r="R56" i="10" s="1"/>
  <c r="T56" i="10" a="1"/>
  <c r="T56" i="10" s="1"/>
  <c r="O57" i="10" a="1"/>
  <c r="O57" i="10" s="1"/>
  <c r="P57" i="10" a="1"/>
  <c r="P57" i="10" s="1"/>
  <c r="Q57" i="10" a="1"/>
  <c r="Q57" i="10" s="1"/>
  <c r="R57" i="10" a="1"/>
  <c r="R57" i="10" s="1"/>
  <c r="T57" i="10" a="1"/>
  <c r="T57" i="10" s="1"/>
  <c r="O58" i="10" a="1"/>
  <c r="O58" i="10" s="1"/>
  <c r="P58" i="10" a="1"/>
  <c r="P58" i="10" s="1"/>
  <c r="Q58" i="10" a="1"/>
  <c r="Q58" i="10" s="1"/>
  <c r="R58" i="10" a="1"/>
  <c r="R58" i="10" s="1"/>
  <c r="T58" i="10" a="1"/>
  <c r="T58" i="10" s="1"/>
  <c r="O59" i="10" a="1"/>
  <c r="O59" i="10" s="1"/>
  <c r="P59" i="10" a="1"/>
  <c r="P59" i="10" s="1"/>
  <c r="Q59" i="10" a="1"/>
  <c r="Q59" i="10" s="1"/>
  <c r="R59" i="10" a="1"/>
  <c r="R59" i="10" s="1"/>
  <c r="T59" i="10" a="1"/>
  <c r="T59" i="10" s="1"/>
  <c r="O60" i="10" a="1"/>
  <c r="O60" i="10" s="1"/>
  <c r="P60" i="10" a="1"/>
  <c r="P60" i="10" s="1"/>
  <c r="Q60" i="10" a="1"/>
  <c r="Q60" i="10" s="1"/>
  <c r="R60" i="10" a="1"/>
  <c r="R60" i="10" s="1"/>
  <c r="T60" i="10" a="1"/>
  <c r="T60" i="10" s="1"/>
  <c r="O61" i="10" a="1"/>
  <c r="O61" i="10" s="1"/>
  <c r="P61" i="10" a="1"/>
  <c r="P61" i="10" s="1"/>
  <c r="Q61" i="10" a="1"/>
  <c r="Q61" i="10" s="1"/>
  <c r="R61" i="10" a="1"/>
  <c r="R61" i="10" s="1"/>
  <c r="T61" i="10" a="1"/>
  <c r="T61" i="10" s="1"/>
  <c r="O62" i="10" a="1"/>
  <c r="O62" i="10" s="1"/>
  <c r="P62" i="10" a="1"/>
  <c r="P62" i="10" s="1"/>
  <c r="Q62" i="10" a="1"/>
  <c r="Q62" i="10" s="1"/>
  <c r="R62" i="10" a="1"/>
  <c r="R62" i="10" s="1"/>
  <c r="T62" i="10" a="1"/>
  <c r="T62" i="10" s="1"/>
  <c r="O63" i="10" a="1"/>
  <c r="O63" i="10" s="1"/>
  <c r="P63" i="10" a="1"/>
  <c r="P63" i="10" s="1"/>
  <c r="Q63" i="10" a="1"/>
  <c r="Q63" i="10" s="1"/>
  <c r="R63" i="10" a="1"/>
  <c r="R63" i="10" s="1"/>
  <c r="T63" i="10" a="1"/>
  <c r="T63" i="10" s="1"/>
  <c r="O64" i="10" a="1"/>
  <c r="O64" i="10" s="1"/>
  <c r="P64" i="10" a="1"/>
  <c r="P64" i="10" s="1"/>
  <c r="Q64" i="10" a="1"/>
  <c r="Q64" i="10" s="1"/>
  <c r="R64" i="10" a="1"/>
  <c r="R64" i="10" s="1"/>
  <c r="T64" i="10" a="1"/>
  <c r="T64" i="10" s="1"/>
  <c r="O65" i="10" a="1"/>
  <c r="O65" i="10" s="1"/>
  <c r="P65" i="10" a="1"/>
  <c r="P65" i="10" s="1"/>
  <c r="Q65" i="10" a="1"/>
  <c r="Q65" i="10" s="1"/>
  <c r="R65" i="10" a="1"/>
  <c r="R65" i="10" s="1"/>
  <c r="T65" i="10" a="1"/>
  <c r="T65" i="10" s="1"/>
  <c r="O66" i="10" a="1"/>
  <c r="O66" i="10" s="1"/>
  <c r="P66" i="10" a="1"/>
  <c r="P66" i="10" s="1"/>
  <c r="Q66" i="10" a="1"/>
  <c r="Q66" i="10" s="1"/>
  <c r="R66" i="10" a="1"/>
  <c r="R66" i="10" s="1"/>
  <c r="T66" i="10" a="1"/>
  <c r="T66" i="10" s="1"/>
  <c r="O67" i="10" a="1"/>
  <c r="O67" i="10" s="1"/>
  <c r="P67" i="10" a="1"/>
  <c r="P67" i="10" s="1"/>
  <c r="Q67" i="10" a="1"/>
  <c r="Q67" i="10" s="1"/>
  <c r="R67" i="10" a="1"/>
  <c r="R67" i="10" s="1"/>
  <c r="T67" i="10" a="1"/>
  <c r="T67" i="10" s="1"/>
  <c r="O68" i="10" a="1"/>
  <c r="O68" i="10" s="1"/>
  <c r="P68" i="10" a="1"/>
  <c r="P68" i="10" s="1"/>
  <c r="Q68" i="10" a="1"/>
  <c r="Q68" i="10" s="1"/>
  <c r="R68" i="10" a="1"/>
  <c r="R68" i="10" s="1"/>
  <c r="T68" i="10" a="1"/>
  <c r="T68" i="10" s="1"/>
  <c r="O69" i="10" a="1"/>
  <c r="O69" i="10" s="1"/>
  <c r="P69" i="10" a="1"/>
  <c r="P69" i="10" s="1"/>
  <c r="Q69" i="10" a="1"/>
  <c r="Q69" i="10" s="1"/>
  <c r="R69" i="10" a="1"/>
  <c r="R69" i="10" s="1"/>
  <c r="T69" i="10" a="1"/>
  <c r="T69" i="10" s="1"/>
  <c r="O70" i="10" a="1"/>
  <c r="O70" i="10" s="1"/>
  <c r="P70" i="10" a="1"/>
  <c r="P70" i="10" s="1"/>
  <c r="Q70" i="10" a="1"/>
  <c r="Q70" i="10" s="1"/>
  <c r="R70" i="10" a="1"/>
  <c r="R70" i="10" s="1"/>
  <c r="T70" i="10" a="1"/>
  <c r="T70" i="10" s="1"/>
  <c r="O71" i="10" a="1"/>
  <c r="O71" i="10" s="1"/>
  <c r="P71" i="10" a="1"/>
  <c r="P71" i="10" s="1"/>
  <c r="Q71" i="10" a="1"/>
  <c r="Q71" i="10" s="1"/>
  <c r="R71" i="10" a="1"/>
  <c r="R71" i="10" s="1"/>
  <c r="T71" i="10" a="1"/>
  <c r="T71" i="10" s="1"/>
  <c r="O72" i="10" a="1"/>
  <c r="O72" i="10" s="1"/>
  <c r="P72" i="10" a="1"/>
  <c r="P72" i="10" s="1"/>
  <c r="Q72" i="10" a="1"/>
  <c r="Q72" i="10" s="1"/>
  <c r="R72" i="10" a="1"/>
  <c r="R72" i="10" s="1"/>
  <c r="T72" i="10" a="1"/>
  <c r="T72" i="10" s="1"/>
  <c r="O73" i="10" a="1"/>
  <c r="O73" i="10" s="1"/>
  <c r="P73" i="10" a="1"/>
  <c r="P73" i="10" s="1"/>
  <c r="Q73" i="10" a="1"/>
  <c r="Q73" i="10" s="1"/>
  <c r="R73" i="10" a="1"/>
  <c r="R73" i="10" s="1"/>
  <c r="T73" i="10" a="1"/>
  <c r="T73" i="10" s="1"/>
  <c r="O74" i="10" a="1"/>
  <c r="O74" i="10" s="1"/>
  <c r="P74" i="10" a="1"/>
  <c r="P74" i="10" s="1"/>
  <c r="Q74" i="10" a="1"/>
  <c r="Q74" i="10" s="1"/>
  <c r="R74" i="10" a="1"/>
  <c r="R74" i="10" s="1"/>
  <c r="T74" i="10" a="1"/>
  <c r="T74" i="10" s="1"/>
  <c r="O75" i="10" a="1"/>
  <c r="O75" i="10" s="1"/>
  <c r="P75" i="10" a="1"/>
  <c r="P75" i="10" s="1"/>
  <c r="Q75" i="10" a="1"/>
  <c r="Q75" i="10" s="1"/>
  <c r="R75" i="10" a="1"/>
  <c r="R75" i="10" s="1"/>
  <c r="T75" i="10" a="1"/>
  <c r="T75" i="10" s="1"/>
  <c r="O76" i="10" a="1"/>
  <c r="O76" i="10" s="1"/>
  <c r="P76" i="10" a="1"/>
  <c r="P76" i="10" s="1"/>
  <c r="Q76" i="10" a="1"/>
  <c r="Q76" i="10" s="1"/>
  <c r="R76" i="10" a="1"/>
  <c r="R76" i="10" s="1"/>
  <c r="T76" i="10" a="1"/>
  <c r="T76" i="10" s="1"/>
  <c r="O77" i="10" a="1"/>
  <c r="O77" i="10" s="1"/>
  <c r="P77" i="10" a="1"/>
  <c r="P77" i="10" s="1"/>
  <c r="Q77" i="10" a="1"/>
  <c r="Q77" i="10" s="1"/>
  <c r="R77" i="10" a="1"/>
  <c r="R77" i="10" s="1"/>
  <c r="T77" i="10" a="1"/>
  <c r="T77" i="10" s="1"/>
  <c r="O78" i="10" a="1"/>
  <c r="O78" i="10" s="1"/>
  <c r="P78" i="10" a="1"/>
  <c r="P78" i="10" s="1"/>
  <c r="Q78" i="10" a="1"/>
  <c r="Q78" i="10" s="1"/>
  <c r="R78" i="10" a="1"/>
  <c r="R78" i="10" s="1"/>
  <c r="T78" i="10" a="1"/>
  <c r="T78" i="10" s="1"/>
  <c r="O79" i="10" a="1"/>
  <c r="O79" i="10" s="1"/>
  <c r="P79" i="10" a="1"/>
  <c r="P79" i="10" s="1"/>
  <c r="Q79" i="10" a="1"/>
  <c r="Q79" i="10" s="1"/>
  <c r="R79" i="10" a="1"/>
  <c r="R79" i="10" s="1"/>
  <c r="T79" i="10" a="1"/>
  <c r="T79" i="10" s="1"/>
  <c r="O80" i="10" a="1"/>
  <c r="O80" i="10" s="1"/>
  <c r="P80" i="10" a="1"/>
  <c r="P80" i="10" s="1"/>
  <c r="Q80" i="10" a="1"/>
  <c r="Q80" i="10" s="1"/>
  <c r="R80" i="10" a="1"/>
  <c r="R80" i="10" s="1"/>
  <c r="T80" i="10" a="1"/>
  <c r="T80" i="10" s="1"/>
  <c r="O81" i="10" a="1"/>
  <c r="O81" i="10" s="1"/>
  <c r="P81" i="10" a="1"/>
  <c r="P81" i="10" s="1"/>
  <c r="Q81" i="10" a="1"/>
  <c r="Q81" i="10" s="1"/>
  <c r="R81" i="10" a="1"/>
  <c r="R81" i="10" s="1"/>
  <c r="T81" i="10" a="1"/>
  <c r="T81" i="10" s="1"/>
  <c r="O82" i="10" a="1"/>
  <c r="O82" i="10" s="1"/>
  <c r="P82" i="10" a="1"/>
  <c r="P82" i="10" s="1"/>
  <c r="Q82" i="10" a="1"/>
  <c r="Q82" i="10" s="1"/>
  <c r="R82" i="10" a="1"/>
  <c r="R82" i="10" s="1"/>
  <c r="T82" i="10" a="1"/>
  <c r="T82" i="10" s="1"/>
  <c r="O83" i="10" a="1"/>
  <c r="O83" i="10" s="1"/>
  <c r="P83" i="10" a="1"/>
  <c r="P83" i="10" s="1"/>
  <c r="Q83" i="10" a="1"/>
  <c r="Q83" i="10" s="1"/>
  <c r="R83" i="10" a="1"/>
  <c r="R83" i="10" s="1"/>
  <c r="T83" i="10" a="1"/>
  <c r="T83" i="10" s="1"/>
  <c r="O84" i="10" a="1"/>
  <c r="O84" i="10" s="1"/>
  <c r="P84" i="10" a="1"/>
  <c r="P84" i="10" s="1"/>
  <c r="Q84" i="10" a="1"/>
  <c r="Q84" i="10" s="1"/>
  <c r="R84" i="10" a="1"/>
  <c r="R84" i="10" s="1"/>
  <c r="T84" i="10" a="1"/>
  <c r="T84" i="10" s="1"/>
  <c r="O85" i="10" a="1"/>
  <c r="O85" i="10" s="1"/>
  <c r="P85" i="10" a="1"/>
  <c r="P85" i="10" s="1"/>
  <c r="Q85" i="10" a="1"/>
  <c r="Q85" i="10" s="1"/>
  <c r="R85" i="10" a="1"/>
  <c r="R85" i="10" s="1"/>
  <c r="T85" i="10" a="1"/>
  <c r="T85" i="10" s="1"/>
  <c r="O86" i="10" a="1"/>
  <c r="O86" i="10" s="1"/>
  <c r="P86" i="10" a="1"/>
  <c r="P86" i="10" s="1"/>
  <c r="Q86" i="10" a="1"/>
  <c r="Q86" i="10" s="1"/>
  <c r="R86" i="10" a="1"/>
  <c r="R86" i="10" s="1"/>
  <c r="T86" i="10" a="1"/>
  <c r="T86" i="10" s="1"/>
  <c r="O87" i="10" a="1"/>
  <c r="O87" i="10" s="1"/>
  <c r="P87" i="10" a="1"/>
  <c r="P87" i="10" s="1"/>
  <c r="Q87" i="10" a="1"/>
  <c r="Q87" i="10" s="1"/>
  <c r="R87" i="10" a="1"/>
  <c r="R87" i="10" s="1"/>
  <c r="T87" i="10" a="1"/>
  <c r="T87" i="10" s="1"/>
  <c r="O88" i="10" a="1"/>
  <c r="O88" i="10" s="1"/>
  <c r="P88" i="10" a="1"/>
  <c r="P88" i="10" s="1"/>
  <c r="Q88" i="10" a="1"/>
  <c r="Q88" i="10" s="1"/>
  <c r="R88" i="10" a="1"/>
  <c r="R88" i="10" s="1"/>
  <c r="T88" i="10" a="1"/>
  <c r="T88" i="10" s="1"/>
  <c r="O89" i="10" a="1"/>
  <c r="O89" i="10" s="1"/>
  <c r="P89" i="10" a="1"/>
  <c r="P89" i="10" s="1"/>
  <c r="Q89" i="10" a="1"/>
  <c r="Q89" i="10" s="1"/>
  <c r="R89" i="10" a="1"/>
  <c r="R89" i="10" s="1"/>
  <c r="T89" i="10" a="1"/>
  <c r="T89" i="10" s="1"/>
  <c r="O90" i="10" a="1"/>
  <c r="O90" i="10" s="1"/>
  <c r="P90" i="10" a="1"/>
  <c r="P90" i="10" s="1"/>
  <c r="Q90" i="10" a="1"/>
  <c r="Q90" i="10" s="1"/>
  <c r="R90" i="10" a="1"/>
  <c r="R90" i="10" s="1"/>
  <c r="T90" i="10" a="1"/>
  <c r="T90" i="10" s="1"/>
  <c r="O91" i="10" a="1"/>
  <c r="O91" i="10" s="1"/>
  <c r="P91" i="10" a="1"/>
  <c r="P91" i="10" s="1"/>
  <c r="Q91" i="10" a="1"/>
  <c r="Q91" i="10" s="1"/>
  <c r="R91" i="10" a="1"/>
  <c r="R91" i="10" s="1"/>
  <c r="T91" i="10" a="1"/>
  <c r="T91" i="10" s="1"/>
  <c r="O92" i="10" a="1"/>
  <c r="O92" i="10" s="1"/>
  <c r="P92" i="10" a="1"/>
  <c r="P92" i="10" s="1"/>
  <c r="Q92" i="10" a="1"/>
  <c r="Q92" i="10" s="1"/>
  <c r="R92" i="10" a="1"/>
  <c r="R92" i="10" s="1"/>
  <c r="T92" i="10" a="1"/>
  <c r="T92" i="10" s="1"/>
  <c r="O93" i="10" a="1"/>
  <c r="O93" i="10" s="1"/>
  <c r="P93" i="10" a="1"/>
  <c r="P93" i="10" s="1"/>
  <c r="Q93" i="10" a="1"/>
  <c r="Q93" i="10" s="1"/>
  <c r="R93" i="10" a="1"/>
  <c r="R93" i="10" s="1"/>
  <c r="T93" i="10" a="1"/>
  <c r="T93" i="10" s="1"/>
  <c r="O94" i="10" a="1"/>
  <c r="O94" i="10" s="1"/>
  <c r="P94" i="10" a="1"/>
  <c r="P94" i="10" s="1"/>
  <c r="Q94" i="10" a="1"/>
  <c r="Q94" i="10" s="1"/>
  <c r="R94" i="10" a="1"/>
  <c r="R94" i="10" s="1"/>
  <c r="T94" i="10" a="1"/>
  <c r="T94" i="10" s="1"/>
  <c r="O95" i="10" a="1"/>
  <c r="O95" i="10" s="1"/>
  <c r="P95" i="10" a="1"/>
  <c r="P95" i="10" s="1"/>
  <c r="Q95" i="10" a="1"/>
  <c r="Q95" i="10" s="1"/>
  <c r="R95" i="10" a="1"/>
  <c r="R95" i="10" s="1"/>
  <c r="T95" i="10" a="1"/>
  <c r="T95" i="10" s="1"/>
  <c r="O96" i="10" a="1"/>
  <c r="O96" i="10" s="1"/>
  <c r="P96" i="10" a="1"/>
  <c r="P96" i="10" s="1"/>
  <c r="Q96" i="10" a="1"/>
  <c r="Q96" i="10" s="1"/>
  <c r="R96" i="10" a="1"/>
  <c r="R96" i="10" s="1"/>
  <c r="T96" i="10" a="1"/>
  <c r="T96" i="10" s="1"/>
  <c r="O97" i="10" a="1"/>
  <c r="O97" i="10" s="1"/>
  <c r="P97" i="10" a="1"/>
  <c r="P97" i="10" s="1"/>
  <c r="Q97" i="10" a="1"/>
  <c r="Q97" i="10" s="1"/>
  <c r="R97" i="10" a="1"/>
  <c r="R97" i="10" s="1"/>
  <c r="T97" i="10" a="1"/>
  <c r="T97" i="10" s="1"/>
  <c r="O98" i="10" a="1"/>
  <c r="O98" i="10" s="1"/>
  <c r="P98" i="10" a="1"/>
  <c r="P98" i="10" s="1"/>
  <c r="Q98" i="10" a="1"/>
  <c r="Q98" i="10" s="1"/>
  <c r="R98" i="10" a="1"/>
  <c r="R98" i="10" s="1"/>
  <c r="T98" i="10" a="1"/>
  <c r="T98" i="10" s="1"/>
  <c r="O99" i="10" a="1"/>
  <c r="O99" i="10" s="1"/>
  <c r="P99" i="10" a="1"/>
  <c r="P99" i="10" s="1"/>
  <c r="Q99" i="10" a="1"/>
  <c r="Q99" i="10" s="1"/>
  <c r="R99" i="10" a="1"/>
  <c r="R99" i="10" s="1"/>
  <c r="T99" i="10" a="1"/>
  <c r="T99" i="10" s="1"/>
  <c r="O100" i="10" a="1"/>
  <c r="O100" i="10" s="1"/>
  <c r="P100" i="10" a="1"/>
  <c r="P100" i="10" s="1"/>
  <c r="Q100" i="10" a="1"/>
  <c r="Q100" i="10" s="1"/>
  <c r="R100" i="10" a="1"/>
  <c r="R100" i="10" s="1"/>
  <c r="T100" i="10" a="1"/>
  <c r="T100" i="10" s="1"/>
  <c r="O101" i="10" a="1"/>
  <c r="O101" i="10" s="1"/>
  <c r="P101" i="10" a="1"/>
  <c r="P101" i="10" s="1"/>
  <c r="Q101" i="10" a="1"/>
  <c r="Q101" i="10" s="1"/>
  <c r="R101" i="10" a="1"/>
  <c r="R101" i="10" s="1"/>
  <c r="T101" i="10" a="1"/>
  <c r="T101" i="10" s="1"/>
  <c r="O102" i="10" a="1"/>
  <c r="O102" i="10" s="1"/>
  <c r="P102" i="10" a="1"/>
  <c r="P102" i="10" s="1"/>
  <c r="Q102" i="10" a="1"/>
  <c r="Q102" i="10" s="1"/>
  <c r="R102" i="10" a="1"/>
  <c r="R102" i="10" s="1"/>
  <c r="T102" i="10" a="1"/>
  <c r="T102" i="10" s="1"/>
  <c r="O103" i="10" a="1"/>
  <c r="O103" i="10" s="1"/>
  <c r="P103" i="10" a="1"/>
  <c r="P103" i="10" s="1"/>
  <c r="Q103" i="10" a="1"/>
  <c r="Q103" i="10" s="1"/>
  <c r="R103" i="10" a="1"/>
  <c r="R103" i="10" s="1"/>
  <c r="T103" i="10" a="1"/>
  <c r="T103" i="10" s="1"/>
  <c r="O104" i="10" a="1"/>
  <c r="O104" i="10" s="1"/>
  <c r="P104" i="10" a="1"/>
  <c r="P104" i="10" s="1"/>
  <c r="Q104" i="10" a="1"/>
  <c r="Q104" i="10" s="1"/>
  <c r="R104" i="10" a="1"/>
  <c r="R104" i="10" s="1"/>
  <c r="T104" i="10" a="1"/>
  <c r="T104" i="10" s="1"/>
  <c r="O105" i="10" a="1"/>
  <c r="O105" i="10" s="1"/>
  <c r="P105" i="10" a="1"/>
  <c r="P105" i="10" s="1"/>
  <c r="Q105" i="10" a="1"/>
  <c r="Q105" i="10" s="1"/>
  <c r="R105" i="10" a="1"/>
  <c r="R105" i="10" s="1"/>
  <c r="T105" i="10" a="1"/>
  <c r="T105" i="10" s="1"/>
  <c r="O106" i="10" a="1"/>
  <c r="O106" i="10" s="1"/>
  <c r="P106" i="10" a="1"/>
  <c r="P106" i="10" s="1"/>
  <c r="Q106" i="10" a="1"/>
  <c r="Q106" i="10" s="1"/>
  <c r="R106" i="10" a="1"/>
  <c r="R106" i="10" s="1"/>
  <c r="T106" i="10" a="1"/>
  <c r="T106" i="10" s="1"/>
  <c r="O107" i="10" a="1"/>
  <c r="O107" i="10" s="1"/>
  <c r="P107" i="10" a="1"/>
  <c r="P107" i="10" s="1"/>
  <c r="Q107" i="10" a="1"/>
  <c r="Q107" i="10" s="1"/>
  <c r="R107" i="10" a="1"/>
  <c r="R107" i="10" s="1"/>
  <c r="T107" i="10" a="1"/>
  <c r="T107" i="10" s="1"/>
  <c r="O108" i="10" a="1"/>
  <c r="O108" i="10" s="1"/>
  <c r="P108" i="10" a="1"/>
  <c r="P108" i="10" s="1"/>
  <c r="Q108" i="10" a="1"/>
  <c r="Q108" i="10" s="1"/>
  <c r="R108" i="10" a="1"/>
  <c r="R108" i="10" s="1"/>
  <c r="T108" i="10" a="1"/>
  <c r="T108" i="10" s="1"/>
  <c r="O109" i="10" a="1"/>
  <c r="O109" i="10" s="1"/>
  <c r="P109" i="10" a="1"/>
  <c r="P109" i="10" s="1"/>
  <c r="Q109" i="10" a="1"/>
  <c r="Q109" i="10" s="1"/>
  <c r="R109" i="10" a="1"/>
  <c r="R109" i="10" s="1"/>
  <c r="T109" i="10" a="1"/>
  <c r="T109" i="10" s="1"/>
  <c r="O110" i="10" a="1"/>
  <c r="O110" i="10" s="1"/>
  <c r="P110" i="10" a="1"/>
  <c r="P110" i="10" s="1"/>
  <c r="Q110" i="10" a="1"/>
  <c r="Q110" i="10" s="1"/>
  <c r="R110" i="10" a="1"/>
  <c r="R110" i="10" s="1"/>
  <c r="T110" i="10" a="1"/>
  <c r="T110" i="10" s="1"/>
  <c r="O111" i="10" a="1"/>
  <c r="O111" i="10" s="1"/>
  <c r="P111" i="10" a="1"/>
  <c r="P111" i="10" s="1"/>
  <c r="Q111" i="10" a="1"/>
  <c r="Q111" i="10" s="1"/>
  <c r="R111" i="10" a="1"/>
  <c r="R111" i="10" s="1"/>
  <c r="T111" i="10" a="1"/>
  <c r="T111" i="10" s="1"/>
  <c r="O112" i="10" a="1"/>
  <c r="O112" i="10" s="1"/>
  <c r="P112" i="10" a="1"/>
  <c r="P112" i="10" s="1"/>
  <c r="Q112" i="10" a="1"/>
  <c r="Q112" i="10" s="1"/>
  <c r="R112" i="10" a="1"/>
  <c r="R112" i="10" s="1"/>
  <c r="T112" i="10" a="1"/>
  <c r="T112" i="10" s="1"/>
  <c r="T3" i="10" a="1"/>
  <c r="T3" i="10" s="1"/>
  <c r="R3" i="10" a="1"/>
  <c r="R3" i="10" s="1"/>
  <c r="Q3" i="10" a="1"/>
  <c r="Q3" i="10" s="1"/>
  <c r="P3" i="10" a="1"/>
  <c r="P3" i="10" s="1"/>
  <c r="O3" i="10" a="1"/>
  <c r="O3" i="10" s="1"/>
  <c r="J4" i="1" l="1"/>
  <c r="H4" i="1"/>
  <c r="G4" i="1"/>
  <c r="F4" i="1"/>
  <c r="L4" i="7"/>
  <c r="L5" i="7"/>
  <c r="L6" i="7"/>
  <c r="L7" i="7"/>
  <c r="L8" i="7"/>
  <c r="L9" i="7"/>
  <c r="L3" i="7"/>
  <c r="E4" i="15"/>
  <c r="E5" i="15"/>
  <c r="E3" i="15"/>
  <c r="G4" i="13" a="1"/>
  <c r="G4" i="13" s="1"/>
  <c r="G5" i="13" a="1"/>
  <c r="G5" i="13" s="1"/>
  <c r="G6" i="13" a="1"/>
  <c r="G6" i="13" s="1"/>
  <c r="G7" i="13" a="1"/>
  <c r="G7" i="13" s="1"/>
  <c r="G8" i="13" a="1"/>
  <c r="G8" i="13" s="1"/>
  <c r="F16" i="13"/>
  <c r="G3" i="13" a="1"/>
  <c r="G3" i="13" s="1"/>
  <c r="E4" i="14" a="1"/>
  <c r="E4" i="14" s="1"/>
  <c r="F4" i="14" a="1"/>
  <c r="F4" i="14" s="1"/>
  <c r="F5" i="14" a="1"/>
  <c r="F5" i="14" s="1"/>
  <c r="F6" i="14" a="1"/>
  <c r="F6" i="14" s="1"/>
  <c r="F7" i="14" a="1"/>
  <c r="F7" i="14" s="1"/>
  <c r="F3" i="14" a="1"/>
  <c r="F3" i="14" s="1"/>
  <c r="E3" i="14" a="1"/>
  <c r="E3" i="14" s="1"/>
  <c r="E5" i="14" a="1"/>
  <c r="E5" i="14" s="1"/>
  <c r="E6" i="14" a="1"/>
  <c r="E6" i="14" s="1"/>
  <c r="E7" i="14" a="1"/>
  <c r="E7" i="14" s="1"/>
  <c r="G4" i="12"/>
  <c r="H4" i="12"/>
  <c r="G5" i="12"/>
  <c r="H5" i="12"/>
  <c r="G6" i="12"/>
  <c r="H6" i="12"/>
  <c r="G7" i="12"/>
  <c r="H7" i="12"/>
  <c r="G8" i="12"/>
  <c r="H8" i="12"/>
  <c r="G9" i="12"/>
  <c r="H9" i="12"/>
  <c r="G10" i="12"/>
  <c r="H10" i="12"/>
  <c r="G11" i="12"/>
  <c r="H11" i="12"/>
  <c r="G12" i="12"/>
  <c r="H12" i="12"/>
  <c r="G13" i="12"/>
  <c r="H13" i="12"/>
  <c r="G14" i="12"/>
  <c r="H14" i="12"/>
  <c r="G15" i="12"/>
  <c r="H15" i="12"/>
  <c r="G16" i="12"/>
  <c r="H16" i="12"/>
  <c r="G17" i="12"/>
  <c r="H17" i="12"/>
  <c r="G18" i="12"/>
  <c r="H18" i="12"/>
  <c r="H3" i="12"/>
  <c r="G3" i="12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3" i="11"/>
  <c r="F9" i="9" a="1"/>
  <c r="F9" i="9" s="1"/>
  <c r="F4" i="9" a="1"/>
  <c r="F4" i="9" s="1"/>
  <c r="E4" i="2"/>
  <c r="F4" i="2"/>
  <c r="G4" i="2"/>
  <c r="E5" i="2"/>
  <c r="F5" i="2"/>
  <c r="G5" i="2"/>
  <c r="E6" i="2"/>
  <c r="F6" i="2"/>
  <c r="G6" i="2"/>
  <c r="F3" i="2"/>
  <c r="G3" i="2"/>
  <c r="E3" i="2"/>
  <c r="I17" i="6"/>
  <c r="J17" i="6"/>
  <c r="K17" i="6"/>
  <c r="L17" i="6"/>
  <c r="M17" i="6"/>
  <c r="H17" i="6"/>
  <c r="H13" i="6"/>
  <c r="I13" i="6"/>
  <c r="J13" i="6"/>
  <c r="K13" i="6"/>
  <c r="L13" i="6"/>
  <c r="M13" i="6"/>
  <c r="H14" i="6"/>
  <c r="I14" i="6"/>
  <c r="J14" i="6"/>
  <c r="K14" i="6"/>
  <c r="L14" i="6"/>
  <c r="M14" i="6"/>
  <c r="I12" i="6"/>
  <c r="J12" i="6"/>
  <c r="K12" i="6"/>
  <c r="L12" i="6"/>
  <c r="M12" i="6"/>
  <c r="H12" i="6"/>
  <c r="H8" i="6"/>
  <c r="I8" i="6"/>
  <c r="J8" i="6"/>
  <c r="K8" i="6"/>
  <c r="L8" i="6"/>
  <c r="M8" i="6"/>
  <c r="H9" i="6"/>
  <c r="I9" i="6"/>
  <c r="J9" i="6"/>
  <c r="K9" i="6"/>
  <c r="L9" i="6"/>
  <c r="M9" i="6"/>
  <c r="I7" i="6"/>
  <c r="J7" i="6"/>
  <c r="K7" i="6"/>
  <c r="L7" i="6"/>
  <c r="M7" i="6"/>
  <c r="H7" i="6"/>
  <c r="H3" i="6"/>
  <c r="I3" i="6"/>
  <c r="J3" i="6"/>
  <c r="K3" i="6"/>
  <c r="L3" i="6"/>
  <c r="M3" i="6"/>
  <c r="H4" i="6"/>
  <c r="I4" i="6"/>
  <c r="J4" i="6"/>
  <c r="K4" i="6"/>
  <c r="L4" i="6"/>
  <c r="M4" i="6"/>
  <c r="I2" i="6"/>
  <c r="J2" i="6"/>
  <c r="K2" i="6"/>
  <c r="L2" i="6"/>
  <c r="M2" i="6"/>
  <c r="H2" i="6"/>
  <c r="I2" i="4"/>
  <c r="G2" i="4"/>
  <c r="H2" i="4"/>
  <c r="F2" i="4"/>
  <c r="J5" i="5"/>
  <c r="J6" i="5"/>
  <c r="J7" i="5"/>
  <c r="J8" i="5"/>
  <c r="J9" i="5"/>
  <c r="J10" i="5"/>
  <c r="J11" i="5"/>
  <c r="J12" i="5"/>
  <c r="J4" i="5"/>
  <c r="F5" i="5"/>
  <c r="F6" i="5"/>
  <c r="F4" i="5"/>
  <c r="J6" i="8"/>
  <c r="Q2" i="3"/>
  <c r="I2" i="3"/>
  <c r="I12" i="7"/>
  <c r="I3" i="7"/>
  <c r="D30" i="7"/>
  <c r="D2" i="1"/>
  <c r="D9" i="1"/>
  <c r="D8" i="1"/>
  <c r="D7" i="1"/>
  <c r="D6" i="1" l="1"/>
  <c r="D5" i="1" l="1"/>
  <c r="D4" i="1"/>
  <c r="D3" i="1"/>
  <c r="C5" i="13"/>
  <c r="C6" i="13"/>
  <c r="C7" i="13"/>
  <c r="C8" i="13"/>
  <c r="C9" i="13"/>
  <c r="C10" i="13"/>
  <c r="C11" i="13"/>
  <c r="C12" i="13"/>
  <c r="C13" i="13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3" i="11"/>
  <c r="N8" i="12"/>
  <c r="O8" i="12"/>
  <c r="P8" i="12"/>
  <c r="Q8" i="12"/>
  <c r="R8" i="12"/>
  <c r="S8" i="12"/>
  <c r="T8" i="12"/>
  <c r="U8" i="12"/>
  <c r="V8" i="12"/>
  <c r="G34" i="8"/>
  <c r="N17" i="6"/>
  <c r="N14" i="6"/>
  <c r="N13" i="6"/>
  <c r="N12" i="6"/>
  <c r="N9" i="6"/>
  <c r="N8" i="6"/>
  <c r="N7" i="6"/>
  <c r="N4" i="6"/>
  <c r="N3" i="6"/>
  <c r="N2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<sst xmlns="http://schemas.openxmlformats.org/spreadsheetml/2006/main" count="4459" uniqueCount="1493">
  <si>
    <t>Description</t>
  </si>
  <si>
    <t>Head</t>
  </si>
  <si>
    <t>Left Foot</t>
  </si>
  <si>
    <t>Ramachandra Ashwin</t>
  </si>
  <si>
    <t>Mohit Singh Chaudhary</t>
  </si>
  <si>
    <t>Rishi Randhir Kapoor</t>
  </si>
  <si>
    <t>Harsh Shahi</t>
  </si>
  <si>
    <t>Varun Malik</t>
  </si>
  <si>
    <t>Ramesh Singh</t>
  </si>
  <si>
    <t>Sita Ram Chaudhary</t>
  </si>
  <si>
    <t>Chest</t>
  </si>
  <si>
    <t>Left Arm</t>
  </si>
  <si>
    <t>Arms</t>
  </si>
  <si>
    <t>Right Hand</t>
  </si>
  <si>
    <t>Nikhil Tripathi</t>
  </si>
  <si>
    <t>Rajiv Ranjan Singh</t>
  </si>
  <si>
    <t>Sl.No.</t>
  </si>
  <si>
    <t>Criteria</t>
  </si>
  <si>
    <t>Count (Output)</t>
  </si>
  <si>
    <t>Date</t>
  </si>
  <si>
    <t>Categories</t>
  </si>
  <si>
    <t>Amounts</t>
  </si>
  <si>
    <t>Food</t>
  </si>
  <si>
    <t>Transp</t>
  </si>
  <si>
    <t>Lodging</t>
  </si>
  <si>
    <t>Region</t>
  </si>
  <si>
    <t>Jan</t>
  </si>
  <si>
    <t>Feb</t>
  </si>
  <si>
    <t>Mar</t>
  </si>
  <si>
    <t>North</t>
  </si>
  <si>
    <t>South</t>
  </si>
  <si>
    <t>East</t>
  </si>
  <si>
    <t>West</t>
  </si>
  <si>
    <t>Sum the Amounts based on Date and Categories</t>
  </si>
  <si>
    <t>Product</t>
  </si>
  <si>
    <t>Brand</t>
  </si>
  <si>
    <t>Cost</t>
  </si>
  <si>
    <t>Sale</t>
  </si>
  <si>
    <t>Profit/Loss</t>
  </si>
  <si>
    <r>
      <t xml:space="preserve">Total Counts the product of Bulb using </t>
    </r>
    <r>
      <rPr>
        <b/>
        <sz val="11"/>
        <color theme="8" tint="-0.499984740745262"/>
        <rFont val="Calibri"/>
        <family val="2"/>
        <scheme val="minor"/>
      </rPr>
      <t>COUNTIF()</t>
    </r>
    <r>
      <rPr>
        <sz val="11"/>
        <color rgb="FFC00000"/>
        <rFont val="Calibri"/>
        <family val="2"/>
        <scheme val="minor"/>
      </rPr>
      <t xml:space="preserve"> Function</t>
    </r>
  </si>
  <si>
    <t>Bulb</t>
  </si>
  <si>
    <t>Philips</t>
  </si>
  <si>
    <r>
      <t xml:space="preserve">Total Counts the product of Bulb and Brand of Philips using </t>
    </r>
    <r>
      <rPr>
        <b/>
        <sz val="11"/>
        <color theme="8" tint="-0.499984740745262"/>
        <rFont val="Calibri"/>
        <family val="2"/>
        <scheme val="minor"/>
      </rPr>
      <t>COUNTIFS()</t>
    </r>
    <r>
      <rPr>
        <sz val="11"/>
        <color rgb="FFC00000"/>
        <rFont val="Calibri"/>
        <family val="2"/>
        <scheme val="minor"/>
      </rPr>
      <t xml:space="preserve"> Function</t>
    </r>
  </si>
  <si>
    <t>Neon</t>
  </si>
  <si>
    <t>Sunbeam</t>
  </si>
  <si>
    <r>
      <t xml:space="preserve">Sum of Profit and Loss of Product (Bulb) using </t>
    </r>
    <r>
      <rPr>
        <b/>
        <sz val="11"/>
        <color theme="8" tint="-0.499984740745262"/>
        <rFont val="Calibri"/>
        <family val="2"/>
        <scheme val="minor"/>
      </rPr>
      <t>SUMIF()</t>
    </r>
    <r>
      <rPr>
        <sz val="11"/>
        <color rgb="FFC00000"/>
        <rFont val="Calibri"/>
        <family val="2"/>
        <scheme val="minor"/>
      </rPr>
      <t xml:space="preserve"> Function</t>
    </r>
  </si>
  <si>
    <t>Spot</t>
  </si>
  <si>
    <t>Horizon</t>
  </si>
  <si>
    <r>
      <t xml:space="preserve">Sum of Profit and Loss of Product (Bulb) and Brand (Philips) using </t>
    </r>
    <r>
      <rPr>
        <b/>
        <sz val="11"/>
        <color theme="8" tint="-0.499984740745262"/>
        <rFont val="Calibri"/>
        <family val="2"/>
        <scheme val="minor"/>
      </rPr>
      <t>SUMIFS()</t>
    </r>
    <r>
      <rPr>
        <sz val="11"/>
        <color rgb="FFC00000"/>
        <rFont val="Calibri"/>
        <family val="2"/>
        <scheme val="minor"/>
      </rPr>
      <t xml:space="preserve"> Function</t>
    </r>
  </si>
  <si>
    <t>Other</t>
  </si>
  <si>
    <t>Camera</t>
  </si>
  <si>
    <t>Book</t>
  </si>
  <si>
    <t>1. COUNTIF</t>
  </si>
  <si>
    <t>2. COUNTIFS</t>
  </si>
  <si>
    <t>3. SUMIF</t>
  </si>
  <si>
    <t>4. SUMIFS</t>
  </si>
  <si>
    <t>Tagging</t>
  </si>
  <si>
    <t>Grand Total</t>
  </si>
  <si>
    <t>REST OF MAHARASHTRA</t>
  </si>
  <si>
    <t>Q</t>
  </si>
  <si>
    <t>RAJASTHAN</t>
  </si>
  <si>
    <t>MAHARASHTRA</t>
  </si>
  <si>
    <t>ORISSA</t>
  </si>
  <si>
    <t>MADHYA PRADESH</t>
  </si>
  <si>
    <t>GUJARAT</t>
  </si>
  <si>
    <t>UTTAR PRADESH WEST</t>
  </si>
  <si>
    <t>WEST BENGAL</t>
  </si>
  <si>
    <t>UTTAR PRADESH EAST</t>
  </si>
  <si>
    <t>R</t>
  </si>
  <si>
    <t>CIRCLE</t>
  </si>
  <si>
    <t>GRAND TOTAL</t>
  </si>
  <si>
    <r>
      <t xml:space="preserve">Count the cells that contain </t>
    </r>
    <r>
      <rPr>
        <b/>
        <sz val="11"/>
        <color rgb="FFC00000"/>
        <rFont val="Calibri"/>
        <family val="2"/>
        <scheme val="minor"/>
      </rPr>
      <t>three words</t>
    </r>
  </si>
  <si>
    <t>O</t>
  </si>
  <si>
    <t>Sl. No.</t>
  </si>
  <si>
    <t>Name</t>
  </si>
  <si>
    <t>Amount</t>
  </si>
  <si>
    <t>ABC</t>
  </si>
  <si>
    <t>Rubber</t>
  </si>
  <si>
    <t>Pen</t>
  </si>
  <si>
    <t>Ink</t>
  </si>
  <si>
    <t>Total</t>
  </si>
  <si>
    <t>PQR</t>
  </si>
  <si>
    <t>XYZ</t>
  </si>
  <si>
    <t>*</t>
  </si>
  <si>
    <r>
      <t>Count the cells in a range that text End with</t>
    </r>
    <r>
      <rPr>
        <b/>
        <sz val="11"/>
        <color rgb="FFC00000"/>
        <rFont val="Calibri"/>
        <family val="2"/>
        <scheme val="minor"/>
      </rPr>
      <t xml:space="preserve"> h</t>
    </r>
  </si>
  <si>
    <r>
      <t>Count the cells in a range that begin with</t>
    </r>
    <r>
      <rPr>
        <b/>
        <sz val="11"/>
        <color rgb="FFC00000"/>
        <rFont val="Calibri"/>
        <family val="2"/>
        <scheme val="minor"/>
      </rPr>
      <t xml:space="preserve"> R</t>
    </r>
  </si>
  <si>
    <r>
      <t xml:space="preserve">Count the cells in a range that 2nd character of text is </t>
    </r>
    <r>
      <rPr>
        <b/>
        <sz val="11"/>
        <color rgb="FFC00000"/>
        <rFont val="Calibri"/>
        <family val="2"/>
        <scheme val="minor"/>
      </rPr>
      <t>"a"</t>
    </r>
  </si>
  <si>
    <r>
      <t>Count the cells in a range that contain</t>
    </r>
    <r>
      <rPr>
        <b/>
        <sz val="12"/>
        <color rgb="FFC00000"/>
        <rFont val="Calibri"/>
        <family val="2"/>
        <scheme val="minor"/>
      </rPr>
      <t xml:space="preserve"> *</t>
    </r>
  </si>
  <si>
    <t>Count Output</t>
  </si>
  <si>
    <t>1. Count The  Given Values Using Of Excel Function</t>
  </si>
  <si>
    <t>2. Sum The  Grand Total By Using Of Excel Function Of Given Circle</t>
  </si>
  <si>
    <t>COUNTIFS</t>
  </si>
  <si>
    <t>AVERAGEIF</t>
  </si>
  <si>
    <t>AVERAGEIFS</t>
  </si>
  <si>
    <t>SUMIFS</t>
  </si>
  <si>
    <t>Pencil</t>
  </si>
  <si>
    <t>Cell</t>
  </si>
  <si>
    <t xml:space="preserve">Sales above 6,000 </t>
  </si>
  <si>
    <t xml:space="preserve">Sales above 4,000 up to 6,000 </t>
  </si>
  <si>
    <t>Sales 4,000 and below.</t>
  </si>
  <si>
    <t>Output</t>
  </si>
  <si>
    <t>5. Count the below Sales values based on Criteria</t>
  </si>
  <si>
    <t>Overall Avg. Score(%)</t>
  </si>
  <si>
    <t>Final Round Score</t>
  </si>
  <si>
    <t>Round2 Score</t>
  </si>
  <si>
    <t>Round1 Score</t>
  </si>
  <si>
    <t>4. Find the Overall Avg. Score of the below mentioned Scores.</t>
  </si>
  <si>
    <t>Sourav Das</t>
  </si>
  <si>
    <t>Kanica Bose</t>
  </si>
  <si>
    <t>Neha Sharma</t>
  </si>
  <si>
    <t>Sanjay Bose</t>
  </si>
  <si>
    <t>Enter Formula Here</t>
  </si>
  <si>
    <t>Scores</t>
  </si>
  <si>
    <t>3. Find out the Average score to Kanica Bose, out of her total score, using formula.</t>
  </si>
  <si>
    <t>L</t>
  </si>
  <si>
    <t>Score</t>
  </si>
  <si>
    <t>2. Count the Score which are greater than 95 and less than 99 using Function.</t>
  </si>
  <si>
    <t>Pradip</t>
  </si>
  <si>
    <t>P</t>
  </si>
  <si>
    <t>Nagen</t>
  </si>
  <si>
    <t>Santanu</t>
  </si>
  <si>
    <t>Sanjit</t>
  </si>
  <si>
    <t>A</t>
  </si>
  <si>
    <t>Alam</t>
  </si>
  <si>
    <t>Sameer</t>
  </si>
  <si>
    <t>Sanas</t>
  </si>
  <si>
    <t>1. Count all the Names starts with 'Sa' using Function.</t>
  </si>
  <si>
    <t>Sl. No</t>
  </si>
  <si>
    <t>Candy</t>
  </si>
  <si>
    <t>Calories</t>
  </si>
  <si>
    <t>Fruits &amp; Vegetables</t>
  </si>
  <si>
    <t xml:space="preserve">Snickers </t>
  </si>
  <si>
    <t>Tomato</t>
  </si>
  <si>
    <t>Twix</t>
  </si>
  <si>
    <t>Potato</t>
  </si>
  <si>
    <t>Skittles</t>
  </si>
  <si>
    <t>Carrot</t>
  </si>
  <si>
    <t>Mars</t>
  </si>
  <si>
    <t>Apple</t>
  </si>
  <si>
    <t>Kit Kat</t>
  </si>
  <si>
    <t>Munch</t>
  </si>
  <si>
    <t>Total Calories</t>
  </si>
  <si>
    <t>S No</t>
  </si>
  <si>
    <t>Date of Travel</t>
  </si>
  <si>
    <t>Name of Traveller</t>
  </si>
  <si>
    <t>Emp ID</t>
  </si>
  <si>
    <t>Designation</t>
  </si>
  <si>
    <t>Business Unit</t>
  </si>
  <si>
    <t>Vimal Roy</t>
  </si>
  <si>
    <t>AM</t>
  </si>
  <si>
    <t>Metlife</t>
  </si>
  <si>
    <t>Raj Mathur</t>
  </si>
  <si>
    <t>Manager</t>
  </si>
  <si>
    <t xml:space="preserve">Amount      </t>
  </si>
  <si>
    <t>Amit Sinha</t>
  </si>
  <si>
    <t>AVP</t>
  </si>
  <si>
    <t>Sachin Tendulkar</t>
  </si>
  <si>
    <t>Anil Sharma</t>
  </si>
  <si>
    <t>Aviva</t>
  </si>
  <si>
    <t>Rahul Mahajan</t>
  </si>
  <si>
    <t>British Gas</t>
  </si>
  <si>
    <t>Salman Khan</t>
  </si>
  <si>
    <t>STA</t>
  </si>
  <si>
    <t>Amrit Kaur</t>
  </si>
  <si>
    <t>Jaswinder Singh</t>
  </si>
  <si>
    <t>Sunshine</t>
  </si>
  <si>
    <t>Avatar Singh</t>
  </si>
  <si>
    <t>Indimag</t>
  </si>
  <si>
    <t>Andrew Fardinad</t>
  </si>
  <si>
    <t>VP</t>
  </si>
  <si>
    <t>Mike Hussey</t>
  </si>
  <si>
    <t>Mike Tyson</t>
  </si>
  <si>
    <t>Aamir Khan</t>
  </si>
  <si>
    <t>Amitabh Bachhan</t>
  </si>
  <si>
    <t>Aviara</t>
  </si>
  <si>
    <t>Rani Mukherjee</t>
  </si>
  <si>
    <t>Gabbar Singh</t>
  </si>
  <si>
    <t>President</t>
  </si>
  <si>
    <t>Kalia Deewan</t>
  </si>
  <si>
    <t>Parimal Oberai</t>
  </si>
  <si>
    <t>Kaushik Ghosh</t>
  </si>
  <si>
    <t>Karan Johar</t>
  </si>
  <si>
    <t>Aditya Birla</t>
  </si>
  <si>
    <t>Kumarmangalam</t>
  </si>
  <si>
    <t>Arvind Joseph</t>
  </si>
  <si>
    <t>Bhawani Shankar</t>
  </si>
  <si>
    <t>Muttuswami</t>
  </si>
  <si>
    <t>Ram Avtar Singh</t>
  </si>
  <si>
    <t>Raj Singh</t>
  </si>
  <si>
    <t>Ocean Green</t>
  </si>
  <si>
    <t>Jail Singh</t>
  </si>
  <si>
    <t>Based on Expense Tracker extract the Amount spent by the person selected in I7 (Cell highlighted in Yellow)</t>
  </si>
  <si>
    <t>Expense Tracker for 2015</t>
  </si>
  <si>
    <t>EMPLOYEE NAME</t>
  </si>
  <si>
    <t>EMP. ID</t>
  </si>
  <si>
    <t>Attendance</t>
  </si>
  <si>
    <t>PAYAL SAINI</t>
  </si>
  <si>
    <t>MONU KHAN</t>
  </si>
  <si>
    <t>ASHU JAIN</t>
  </si>
  <si>
    <t>ASHISH KUMAR</t>
  </si>
  <si>
    <t>Vishal Kumar</t>
  </si>
  <si>
    <t>GAURAV KUMAR</t>
  </si>
  <si>
    <t>VISHANT TYAGI</t>
  </si>
  <si>
    <t>Sunil Kumar</t>
  </si>
  <si>
    <t>OFF</t>
  </si>
  <si>
    <t>SANJAY NEGI</t>
  </si>
  <si>
    <t>HD</t>
  </si>
  <si>
    <t>Smriti Saxena</t>
  </si>
  <si>
    <t>Raghvendra Pratap Singh</t>
  </si>
  <si>
    <t>Satwant Kumar Yadav</t>
  </si>
  <si>
    <t>GAURAV DWIVEDI</t>
  </si>
  <si>
    <t>SHILPA  GUPTA</t>
  </si>
  <si>
    <t>LP</t>
  </si>
  <si>
    <t>PARVAT TIWARI</t>
  </si>
  <si>
    <t>Total Present Counts:</t>
  </si>
  <si>
    <t>The Total Calories of Snickers and Potato :</t>
  </si>
  <si>
    <t>Total Present</t>
  </si>
  <si>
    <r>
      <t xml:space="preserve">Count the cells that contain only </t>
    </r>
    <r>
      <rPr>
        <b/>
        <sz val="11"/>
        <color rgb="FFC00000"/>
        <rFont val="Calibri"/>
        <family val="2"/>
        <scheme val="minor"/>
      </rPr>
      <t>Text Value</t>
    </r>
  </si>
  <si>
    <r>
      <t xml:space="preserve">Count </t>
    </r>
    <r>
      <rPr>
        <b/>
        <sz val="11"/>
        <color rgb="FFC00000"/>
        <rFont val="Calibri"/>
        <family val="2"/>
        <scheme val="minor"/>
      </rPr>
      <t>Total Blank</t>
    </r>
    <r>
      <rPr>
        <sz val="11"/>
        <color rgb="FFC00000"/>
        <rFont val="Calibri"/>
        <family val="2"/>
        <scheme val="minor"/>
      </rPr>
      <t xml:space="preserve"> Cells in a range</t>
    </r>
  </si>
  <si>
    <r>
      <t xml:space="preserve">Count the cells in a range </t>
    </r>
    <r>
      <rPr>
        <b/>
        <sz val="11"/>
        <color rgb="FFC00000"/>
        <rFont val="Calibri"/>
        <family val="2"/>
        <scheme val="minor"/>
      </rPr>
      <t>Only Negative value</t>
    </r>
  </si>
  <si>
    <t>Prem</t>
  </si>
  <si>
    <t>PremNath Sharma</t>
  </si>
  <si>
    <t>6. Fill Sl. No. using Function</t>
  </si>
  <si>
    <t>Age</t>
  </si>
  <si>
    <t>Toys</t>
  </si>
  <si>
    <t>Find out the Maximum Toys in a range whose age is graeter than 2</t>
  </si>
  <si>
    <t>John</t>
  </si>
  <si>
    <t>Sonu</t>
  </si>
  <si>
    <t>Max Toys</t>
  </si>
  <si>
    <t>Golu</t>
  </si>
  <si>
    <t>&gt;2</t>
  </si>
  <si>
    <t>Sohan</t>
  </si>
  <si>
    <t>Find out the Minimum Toys in a range whose Name is John</t>
  </si>
  <si>
    <t>Sita</t>
  </si>
  <si>
    <t>Gita</t>
  </si>
  <si>
    <t>Min Toys</t>
  </si>
  <si>
    <t>Pooja</t>
  </si>
  <si>
    <t>Mohan</t>
  </si>
  <si>
    <t>Monu</t>
  </si>
  <si>
    <t>Emp_Name</t>
  </si>
  <si>
    <t>LOB</t>
  </si>
  <si>
    <t>Circle</t>
  </si>
  <si>
    <t>Sales</t>
  </si>
  <si>
    <t>Login_ID</t>
  </si>
  <si>
    <t>Jananiu</t>
  </si>
  <si>
    <t>HECC</t>
  </si>
  <si>
    <t>CHN</t>
  </si>
  <si>
    <t>Janardhanan</t>
  </si>
  <si>
    <t>GVRM</t>
  </si>
  <si>
    <t>Nivedhan</t>
  </si>
  <si>
    <t>Santhoshkumar T</t>
  </si>
  <si>
    <t>Naresh Kanth</t>
  </si>
  <si>
    <t>Inba Kumar</t>
  </si>
  <si>
    <t>Nayeem Mahmod</t>
  </si>
  <si>
    <t>Sindu N</t>
  </si>
  <si>
    <t>Kudiyarasu Pandiyan</t>
  </si>
  <si>
    <t>Ravi Kumar V</t>
  </si>
  <si>
    <t>Venkatesh P</t>
  </si>
  <si>
    <t>Geetha K</t>
  </si>
  <si>
    <t>Magendran</t>
  </si>
  <si>
    <t>Brinda</t>
  </si>
  <si>
    <t>Senthil Kumar</t>
  </si>
  <si>
    <t>Vaishnavi R</t>
  </si>
  <si>
    <t>Ragini</t>
  </si>
  <si>
    <t>Anandnirmal</t>
  </si>
  <si>
    <t xml:space="preserve">Ag Chn Vaishnavi </t>
  </si>
  <si>
    <t>Antonyleonard</t>
  </si>
  <si>
    <t>Mansoor</t>
  </si>
  <si>
    <t>VRM</t>
  </si>
  <si>
    <t>RAGINI</t>
  </si>
  <si>
    <t>ANANDNIRMAL</t>
  </si>
  <si>
    <t>AG_CHN_VAISHNAVI_</t>
  </si>
  <si>
    <t>ANTONYLEONARD</t>
  </si>
  <si>
    <t>MANSOOR</t>
  </si>
  <si>
    <t>356609</t>
  </si>
  <si>
    <t>356611</t>
  </si>
  <si>
    <t>356613</t>
  </si>
  <si>
    <t>Mohammed Y</t>
  </si>
  <si>
    <t>Prathap K</t>
  </si>
  <si>
    <t>Vijayarama</t>
  </si>
  <si>
    <t>Sahera</t>
  </si>
  <si>
    <t>KA</t>
  </si>
  <si>
    <t>Bharath</t>
  </si>
  <si>
    <t>ShivaK</t>
  </si>
  <si>
    <t>Syed Na</t>
  </si>
  <si>
    <t>Bibi Ay</t>
  </si>
  <si>
    <t>SaddamH</t>
  </si>
  <si>
    <t>Pradeep</t>
  </si>
  <si>
    <t>NazimaS</t>
  </si>
  <si>
    <t>Ravikal</t>
  </si>
  <si>
    <t>Mudaddi</t>
  </si>
  <si>
    <t>AfthabS</t>
  </si>
  <si>
    <t>Syed N</t>
  </si>
  <si>
    <t>Yuvaraj</t>
  </si>
  <si>
    <t>PradepV</t>
  </si>
  <si>
    <t>Simon D</t>
  </si>
  <si>
    <t>SadayaK</t>
  </si>
  <si>
    <t>Lalitha</t>
  </si>
  <si>
    <t>Veeresh</t>
  </si>
  <si>
    <t>Jagade</t>
  </si>
  <si>
    <t>Manjuna</t>
  </si>
  <si>
    <t>Nagma</t>
  </si>
  <si>
    <t>Imran</t>
  </si>
  <si>
    <t>Kiran</t>
  </si>
  <si>
    <t>Mohammd</t>
  </si>
  <si>
    <t>Asif</t>
  </si>
  <si>
    <t>Pavan</t>
  </si>
  <si>
    <t>Faisal</t>
  </si>
  <si>
    <t>Arifull</t>
  </si>
  <si>
    <t>Shanmuk</t>
  </si>
  <si>
    <t>Roohi</t>
  </si>
  <si>
    <t>Nayaz</t>
  </si>
  <si>
    <t>Poshith</t>
  </si>
  <si>
    <t>Rangana</t>
  </si>
  <si>
    <t>Shantha</t>
  </si>
  <si>
    <t>Maria</t>
  </si>
  <si>
    <t>Dharani</t>
  </si>
  <si>
    <t>Mohamed</t>
  </si>
  <si>
    <t>Manjul</t>
  </si>
  <si>
    <t>Taha</t>
  </si>
  <si>
    <t>Shifa</t>
  </si>
  <si>
    <t>Ramya</t>
  </si>
  <si>
    <t>Vinitha</t>
  </si>
  <si>
    <t>Rini</t>
  </si>
  <si>
    <t>Vishwas</t>
  </si>
  <si>
    <t>Sohrab</t>
  </si>
  <si>
    <t>Rakesh</t>
  </si>
  <si>
    <t>Shrut</t>
  </si>
  <si>
    <t>Dushyan</t>
  </si>
  <si>
    <t>Amzad K</t>
  </si>
  <si>
    <t>Taha Am</t>
  </si>
  <si>
    <t>Ruman A</t>
  </si>
  <si>
    <t>Hashim</t>
  </si>
  <si>
    <t>Moham</t>
  </si>
  <si>
    <t>MohamN</t>
  </si>
  <si>
    <t>Shaik I</t>
  </si>
  <si>
    <t>Shruth</t>
  </si>
  <si>
    <t>Deepak T</t>
  </si>
  <si>
    <t>MUM</t>
  </si>
  <si>
    <t>Ga</t>
  </si>
  <si>
    <t>Mubin Sh</t>
  </si>
  <si>
    <t>ANUP ARU</t>
  </si>
  <si>
    <t>Rakesh S</t>
  </si>
  <si>
    <t>Supriya</t>
  </si>
  <si>
    <t>Akshay A</t>
  </si>
  <si>
    <t>Manvir</t>
  </si>
  <si>
    <t>Gyaneshw</t>
  </si>
  <si>
    <t>Mohsin S</t>
  </si>
  <si>
    <t>Rashmi S</t>
  </si>
  <si>
    <t>Sandeep Hiraman Sasa</t>
  </si>
  <si>
    <t>Vicky Sh</t>
  </si>
  <si>
    <t>Sonali B</t>
  </si>
  <si>
    <t>Amol Sud</t>
  </si>
  <si>
    <t>MayurSur</t>
  </si>
  <si>
    <t>SupriyaC</t>
  </si>
  <si>
    <t>Avez Sha</t>
  </si>
  <si>
    <t>Ravi Cha</t>
  </si>
  <si>
    <t>328819</t>
  </si>
  <si>
    <t>Edwin Se</t>
  </si>
  <si>
    <t>Jennifer</t>
  </si>
  <si>
    <t>SHAYISTA</t>
  </si>
  <si>
    <t>GAJENDRA</t>
  </si>
  <si>
    <t>KAPIL RA</t>
  </si>
  <si>
    <t>INDRANEE</t>
  </si>
  <si>
    <t>Amol Udh</t>
  </si>
  <si>
    <t>Anoop Ku</t>
  </si>
  <si>
    <t>Imran Sa</t>
  </si>
  <si>
    <t>Nadeem W</t>
  </si>
  <si>
    <t>Nitin An</t>
  </si>
  <si>
    <t>Rutuja M</t>
  </si>
  <si>
    <t>Sanket C</t>
  </si>
  <si>
    <t>Shahrukh</t>
  </si>
  <si>
    <t>Suraj Ma</t>
  </si>
  <si>
    <t>Yuvraj Sa</t>
  </si>
  <si>
    <t>Suwarna</t>
  </si>
  <si>
    <t>Mustaqim</t>
  </si>
  <si>
    <t>Sahil  Ik</t>
  </si>
  <si>
    <t>sharon  S</t>
  </si>
  <si>
    <t>shabana</t>
  </si>
  <si>
    <t>Kratika</t>
  </si>
  <si>
    <t>Rachna  S</t>
  </si>
  <si>
    <t>Shifa  Ra</t>
  </si>
  <si>
    <t>Shubham</t>
  </si>
  <si>
    <t>Jyoti  Ra</t>
  </si>
  <si>
    <t>Ayush  Ra</t>
  </si>
  <si>
    <t>Mayur   R</t>
  </si>
  <si>
    <t>Kiran  Sa</t>
  </si>
  <si>
    <t>jerin john jacob</t>
  </si>
  <si>
    <t>KL</t>
  </si>
  <si>
    <t>VIJITH  V V</t>
  </si>
  <si>
    <t>Vivek Raj PK</t>
  </si>
  <si>
    <t>Manu Ashok</t>
  </si>
  <si>
    <t>Sruthi P V</t>
  </si>
  <si>
    <t>Deepika Raveendran</t>
  </si>
  <si>
    <t>Prabina</t>
  </si>
  <si>
    <t>Franklin</t>
  </si>
  <si>
    <t>Dinoop</t>
  </si>
  <si>
    <t>Revathi Ragini</t>
  </si>
  <si>
    <t>Saiprageesh Pramod</t>
  </si>
  <si>
    <t>Jayashree Sivashanka</t>
  </si>
  <si>
    <t>Vishnu Mohan</t>
  </si>
  <si>
    <t>ViveK</t>
  </si>
  <si>
    <t>Anoop Jacob</t>
  </si>
  <si>
    <t>VINESH</t>
  </si>
  <si>
    <t>Sibinraj s</t>
  </si>
  <si>
    <t>Mohammed Rafeeque Kv</t>
  </si>
  <si>
    <t>Sangeetha George</t>
  </si>
  <si>
    <t>Edwin Arun Das S</t>
  </si>
  <si>
    <t>Sanjan Samuel</t>
  </si>
  <si>
    <t>Safwan Chaudhry</t>
  </si>
  <si>
    <t>RJ</t>
  </si>
  <si>
    <t>Arjun</t>
  </si>
  <si>
    <t>Bharti Menghani</t>
  </si>
  <si>
    <t>Deep</t>
  </si>
  <si>
    <t>Gaut</t>
  </si>
  <si>
    <t>Bhav</t>
  </si>
  <si>
    <t>Hars</t>
  </si>
  <si>
    <t>Sub</t>
  </si>
  <si>
    <t>Archa</t>
  </si>
  <si>
    <t>Vi</t>
  </si>
  <si>
    <t>Yesha Jani</t>
  </si>
  <si>
    <t>Mayu</t>
  </si>
  <si>
    <t>Lovel</t>
  </si>
  <si>
    <t>Keval  Gajjar</t>
  </si>
  <si>
    <t>Sh</t>
  </si>
  <si>
    <t>Imtiyaz   Chhipa</t>
  </si>
  <si>
    <t>Ra</t>
  </si>
  <si>
    <t>ANISH KUMAR</t>
  </si>
  <si>
    <t>S</t>
  </si>
  <si>
    <t>GAYA</t>
  </si>
  <si>
    <t>HITE</t>
  </si>
  <si>
    <t>Gufran Khan</t>
  </si>
  <si>
    <t>SUBH</t>
  </si>
  <si>
    <t>VIDH</t>
  </si>
  <si>
    <t>Ca</t>
  </si>
  <si>
    <t>Pre/Post</t>
  </si>
  <si>
    <t>Su</t>
  </si>
  <si>
    <t>VISHA</t>
  </si>
  <si>
    <t>MAYAN</t>
  </si>
  <si>
    <t>NACHI</t>
  </si>
  <si>
    <t>Jayes</t>
  </si>
  <si>
    <t>Margesh T</t>
  </si>
  <si>
    <t>GJ</t>
  </si>
  <si>
    <t>Nitesh So</t>
  </si>
  <si>
    <t>Asif Loha</t>
  </si>
  <si>
    <t>Kunajn Tr</t>
  </si>
  <si>
    <t>Neha Bhat</t>
  </si>
  <si>
    <t>Parth Par</t>
  </si>
  <si>
    <t>Shreya Do</t>
  </si>
  <si>
    <t>Chintan P</t>
  </si>
  <si>
    <t>Sanjay Ku</t>
  </si>
  <si>
    <t>Digvijays</t>
  </si>
  <si>
    <t>Dhruval G</t>
  </si>
  <si>
    <t>Lovesh So</t>
  </si>
  <si>
    <t>Rajan Par</t>
  </si>
  <si>
    <t>SAURABHME</t>
  </si>
  <si>
    <t>DARSHILBH</t>
  </si>
  <si>
    <t>MAYANKRAV</t>
  </si>
  <si>
    <t>MANISHAHU</t>
  </si>
  <si>
    <t>DEVANG GA</t>
  </si>
  <si>
    <t>NIRAV BHU</t>
  </si>
  <si>
    <t>RAHUL ITV</t>
  </si>
  <si>
    <t>SHUBHENKU</t>
  </si>
  <si>
    <t>RAHUL PUL</t>
  </si>
  <si>
    <t>BHARGAV P</t>
  </si>
  <si>
    <t>Asif Hala</t>
  </si>
  <si>
    <t>RAJVI SON</t>
  </si>
  <si>
    <t>DENNIS VA</t>
  </si>
  <si>
    <t>INAYAT ZA</t>
  </si>
  <si>
    <t>AZAZ PATE</t>
  </si>
  <si>
    <t>IKRAMUDDI</t>
  </si>
  <si>
    <t>KHYATI PA</t>
  </si>
  <si>
    <t>Ayushi Sh</t>
  </si>
  <si>
    <t>Donna Var</t>
  </si>
  <si>
    <t>Leejoy Ma</t>
  </si>
  <si>
    <t>Manish Me</t>
  </si>
  <si>
    <t>Paridhi K</t>
  </si>
  <si>
    <t>Riddhi Ba</t>
  </si>
  <si>
    <t>Roman Sur</t>
  </si>
  <si>
    <t>Shashank</t>
  </si>
  <si>
    <t>ISHAN  RU</t>
  </si>
  <si>
    <t>MUKESH KO</t>
  </si>
  <si>
    <t>PULKIT  P</t>
  </si>
  <si>
    <t>Ruturaj G</t>
  </si>
  <si>
    <t>Vaishali</t>
  </si>
  <si>
    <t>Hiten Pan</t>
  </si>
  <si>
    <t>Chattarsi</t>
  </si>
  <si>
    <t>Jayraj Pa</t>
  </si>
  <si>
    <t>GJ_AG_DCCC_Vivek_Aac</t>
  </si>
  <si>
    <t>She</t>
  </si>
  <si>
    <t>Rushabhku</t>
  </si>
  <si>
    <t>Sume</t>
  </si>
  <si>
    <t>Sa</t>
  </si>
  <si>
    <t>Pa</t>
  </si>
  <si>
    <t>DHIRAJ TE</t>
  </si>
  <si>
    <t>FRANKLIN</t>
  </si>
  <si>
    <t>SAURABH R</t>
  </si>
  <si>
    <t>PARVEZ MA</t>
  </si>
  <si>
    <t>MANISH SH</t>
  </si>
  <si>
    <t>JIGAR BHA</t>
  </si>
  <si>
    <t>AJIT SING</t>
  </si>
  <si>
    <t>BHOOMIKA</t>
  </si>
  <si>
    <t>GAYATRI R</t>
  </si>
  <si>
    <t>HARSHAD P</t>
  </si>
  <si>
    <t>LAKSHYANK</t>
  </si>
  <si>
    <t>RONAK SHA</t>
  </si>
  <si>
    <t>SIDDHARTH</t>
  </si>
  <si>
    <t>HARDIK PR</t>
  </si>
  <si>
    <t>Bansari A</t>
  </si>
  <si>
    <t>Piyush Ma</t>
  </si>
  <si>
    <t>Geeta  Va</t>
  </si>
  <si>
    <t>Wasim Pat</t>
  </si>
  <si>
    <t>Asim Meht</t>
  </si>
  <si>
    <t>Manthan P</t>
  </si>
  <si>
    <t>Ronak Pat</t>
  </si>
  <si>
    <t>Alpesh P</t>
  </si>
  <si>
    <t>Dhruv Jos</t>
  </si>
  <si>
    <t>Kautuk Pa</t>
  </si>
  <si>
    <t>Ut</t>
  </si>
  <si>
    <t>Voh</t>
  </si>
  <si>
    <t>Goh</t>
  </si>
  <si>
    <t>Rami</t>
  </si>
  <si>
    <t>Vad</t>
  </si>
  <si>
    <t>Pan</t>
  </si>
  <si>
    <t>Bar</t>
  </si>
  <si>
    <t>Mem</t>
  </si>
  <si>
    <t>Pat</t>
  </si>
  <si>
    <t>Ans</t>
  </si>
  <si>
    <t>SO</t>
  </si>
  <si>
    <t>SOL</t>
  </si>
  <si>
    <t>J</t>
  </si>
  <si>
    <t>KAUSHALKU</t>
  </si>
  <si>
    <t>JYOTINDRA</t>
  </si>
  <si>
    <t>SAPTARSHI</t>
  </si>
  <si>
    <t>PAN</t>
  </si>
  <si>
    <t>MEHUL ADA</t>
  </si>
  <si>
    <t>RAHUL SAN</t>
  </si>
  <si>
    <t>KANVA ANT</t>
  </si>
  <si>
    <t>KIRAN RED</t>
  </si>
  <si>
    <t>AVANI RED</t>
  </si>
  <si>
    <t>VANDANA M</t>
  </si>
  <si>
    <t>HITESH SH</t>
  </si>
  <si>
    <t>RONAK KHU</t>
  </si>
  <si>
    <t>SANDEEP B</t>
  </si>
  <si>
    <t>VISHAL GO</t>
  </si>
  <si>
    <t>RITU SHAH</t>
  </si>
  <si>
    <t>VISHWAS A</t>
  </si>
  <si>
    <t>MANISHA K</t>
  </si>
  <si>
    <t>NIKUNJ JO</t>
  </si>
  <si>
    <t>UMESH BHA</t>
  </si>
  <si>
    <t>AMRUTA KH</t>
  </si>
  <si>
    <t>PARESH NA</t>
  </si>
  <si>
    <t>KRUNAL JO</t>
  </si>
  <si>
    <t>MUKIM SHA</t>
  </si>
  <si>
    <t>ALPESH PA</t>
  </si>
  <si>
    <t>BHERULAL</t>
  </si>
  <si>
    <t>NIKITA RA</t>
  </si>
  <si>
    <t>ARVIND DA</t>
  </si>
  <si>
    <t>TINKESH G</t>
  </si>
  <si>
    <t>FARHEEN S</t>
  </si>
  <si>
    <t>MAHEK KAS</t>
  </si>
  <si>
    <t>HIMANSHU</t>
  </si>
  <si>
    <t>NISARG GA</t>
  </si>
  <si>
    <t>VATSAL SO</t>
  </si>
  <si>
    <t>BHAVIK SO</t>
  </si>
  <si>
    <t>BALVIR BH</t>
  </si>
  <si>
    <t>JAY THAKK</t>
  </si>
  <si>
    <t>Sonia</t>
  </si>
  <si>
    <t>HAR</t>
  </si>
  <si>
    <t>Neha</t>
  </si>
  <si>
    <t>Dolly</t>
  </si>
  <si>
    <t>Ravina</t>
  </si>
  <si>
    <t>Kriti</t>
  </si>
  <si>
    <t>Abhishek1</t>
  </si>
  <si>
    <t>Kripa Shan</t>
  </si>
  <si>
    <t>HARMANBIR SINGH</t>
  </si>
  <si>
    <t>PUN</t>
  </si>
  <si>
    <t>PRINCE KUMAR</t>
  </si>
  <si>
    <t>SAURABH CHECHI</t>
  </si>
  <si>
    <t>Rahul Kumar</t>
  </si>
  <si>
    <t>Pooja Rani</t>
  </si>
  <si>
    <t>Ritu Sethi</t>
  </si>
  <si>
    <t>Gagandeep Sing</t>
  </si>
  <si>
    <t>Shweta</t>
  </si>
  <si>
    <t>Amandeep Singh</t>
  </si>
  <si>
    <t>Nimesh Kumar Sandhi</t>
  </si>
  <si>
    <t>Uttampreet Singh</t>
  </si>
  <si>
    <t>Gurpreet Kaur</t>
  </si>
  <si>
    <t>Wasim Kh</t>
  </si>
  <si>
    <t>Arvind K</t>
  </si>
  <si>
    <t>Kavleen</t>
  </si>
  <si>
    <t>Gulshan</t>
  </si>
  <si>
    <t>Hemant B</t>
  </si>
  <si>
    <t>RakeshYadav</t>
  </si>
  <si>
    <t>UPE</t>
  </si>
  <si>
    <t>BEETU PAL</t>
  </si>
  <si>
    <t>DANISH ANSARI</t>
  </si>
  <si>
    <t>Jyotsna Srivastava</t>
  </si>
  <si>
    <t>SWATI MOHAN</t>
  </si>
  <si>
    <t>Kamna Shah</t>
  </si>
  <si>
    <t>Mohammad Nooruddin K</t>
  </si>
  <si>
    <t>Priya Srivastava</t>
  </si>
  <si>
    <t>Rupali Nigam</t>
  </si>
  <si>
    <t>ASHISH SRIVASTAVA</t>
  </si>
  <si>
    <t>POOJA GUPTA</t>
  </si>
  <si>
    <t>AMITKUMAR_</t>
  </si>
  <si>
    <t>Mitali Gupta</t>
  </si>
  <si>
    <t>Ashwani  Singh</t>
  </si>
  <si>
    <t>BH</t>
  </si>
  <si>
    <t>Samin Rizvi</t>
  </si>
  <si>
    <t>PrateekSahai</t>
  </si>
  <si>
    <t>BindiaRai</t>
  </si>
  <si>
    <t>AashiRastogi</t>
  </si>
  <si>
    <t>MahimaSingh</t>
  </si>
  <si>
    <t>MamtaPrabhaka</t>
  </si>
  <si>
    <t>RACHNACHAWLA</t>
  </si>
  <si>
    <t>Aman Bhatoa</t>
  </si>
  <si>
    <t>Raunaq Singh</t>
  </si>
  <si>
    <t>Umed Singh</t>
  </si>
  <si>
    <t>Navneet Kapoor</t>
  </si>
  <si>
    <t>Sarvez</t>
  </si>
  <si>
    <t>Prabodh</t>
  </si>
  <si>
    <t>Priya</t>
  </si>
  <si>
    <t>Vinay K</t>
  </si>
  <si>
    <t>Somanna</t>
  </si>
  <si>
    <t>AnithaB</t>
  </si>
  <si>
    <t>Goutham</t>
  </si>
  <si>
    <t>Vincent</t>
  </si>
  <si>
    <t>FarhaN</t>
  </si>
  <si>
    <t>Radha</t>
  </si>
  <si>
    <t>MohammE</t>
  </si>
  <si>
    <t>Ashok</t>
  </si>
  <si>
    <t>Sushmit</t>
  </si>
  <si>
    <t>Thimmar</t>
  </si>
  <si>
    <t>Jamshee</t>
  </si>
  <si>
    <t>ABHIJEE</t>
  </si>
  <si>
    <t>MOHAMME</t>
  </si>
  <si>
    <t>NAVEEN</t>
  </si>
  <si>
    <t>SYED RI</t>
  </si>
  <si>
    <t>MOHaMME</t>
  </si>
  <si>
    <t>ASHWIN</t>
  </si>
  <si>
    <t>Ashwath</t>
  </si>
  <si>
    <t>VEENA K</t>
  </si>
  <si>
    <t>PRABHU</t>
  </si>
  <si>
    <t>UDAY KU</t>
  </si>
  <si>
    <t>Harshit</t>
  </si>
  <si>
    <t>Padmava</t>
  </si>
  <si>
    <t>ROHITH</t>
  </si>
  <si>
    <t>SANJAY</t>
  </si>
  <si>
    <t>Jeevitha T</t>
  </si>
  <si>
    <t>Farooq</t>
  </si>
  <si>
    <t>Praveen Raj</t>
  </si>
  <si>
    <t>Ajith M</t>
  </si>
  <si>
    <t>Reshma M Mohan</t>
  </si>
  <si>
    <t>Ashish Patel</t>
  </si>
  <si>
    <t>Ha</t>
  </si>
  <si>
    <t>Anki</t>
  </si>
  <si>
    <t>Sati</t>
  </si>
  <si>
    <t>NIKH</t>
  </si>
  <si>
    <r>
      <t xml:space="preserve">Map the Blank Fields from Master Data Using </t>
    </r>
    <r>
      <rPr>
        <b/>
        <sz val="11"/>
        <color rgb="FF002060"/>
        <rFont val="Calibri"/>
        <family val="2"/>
        <scheme val="minor"/>
      </rPr>
      <t>Vlookup()</t>
    </r>
    <r>
      <rPr>
        <b/>
        <sz val="11"/>
        <color rgb="FFC00000"/>
        <rFont val="Calibri"/>
        <family val="2"/>
        <scheme val="minor"/>
      </rPr>
      <t xml:space="preserve"> function</t>
    </r>
  </si>
  <si>
    <t>Master Data</t>
  </si>
  <si>
    <r>
      <t xml:space="preserve">Map the Blank Fields from Master Data Using </t>
    </r>
    <r>
      <rPr>
        <b/>
        <sz val="11"/>
        <color rgb="FF002060"/>
        <rFont val="Calibri"/>
        <family val="2"/>
        <scheme val="minor"/>
      </rPr>
      <t>Hlookup()</t>
    </r>
    <r>
      <rPr>
        <b/>
        <sz val="11"/>
        <color rgb="FFC00000"/>
        <rFont val="Calibri"/>
        <family val="2"/>
        <scheme val="minor"/>
      </rPr>
      <t xml:space="preserve"> function</t>
    </r>
  </si>
  <si>
    <r>
      <t xml:space="preserve">Calculate the Percentage and Get the Grade on basis of Criteria using </t>
    </r>
    <r>
      <rPr>
        <b/>
        <sz val="11"/>
        <color rgb="FF002060"/>
        <rFont val="Calibri"/>
        <family val="2"/>
        <scheme val="minor"/>
      </rPr>
      <t>IF()</t>
    </r>
    <r>
      <rPr>
        <b/>
        <sz val="11"/>
        <color rgb="FFC00000"/>
        <rFont val="Calibri"/>
        <family val="2"/>
        <scheme val="minor"/>
      </rPr>
      <t xml:space="preserve"> Function</t>
    </r>
  </si>
  <si>
    <t>Roll_No</t>
  </si>
  <si>
    <t>Total_Marks</t>
  </si>
  <si>
    <t>Obtained Marks</t>
  </si>
  <si>
    <t>Percentage</t>
  </si>
  <si>
    <t>Grade</t>
  </si>
  <si>
    <t>&gt;=75%</t>
  </si>
  <si>
    <t>&gt;=60% and &lt;75%</t>
  </si>
  <si>
    <t>B</t>
  </si>
  <si>
    <t>&gt;=50% and &lt;60%</t>
  </si>
  <si>
    <t>C</t>
  </si>
  <si>
    <t>&lt;50%</t>
  </si>
  <si>
    <t>Fail</t>
  </si>
  <si>
    <t>Sandeep</t>
  </si>
  <si>
    <t>Vijay Varma</t>
  </si>
  <si>
    <t>Raju</t>
  </si>
  <si>
    <t>Extract "Employee Name" and "Sales" of Emp ID in Yellow Cells from Data Range.</t>
  </si>
  <si>
    <t>Extract Date wise "Sales value" of Emp ID in Yellow cells usnig Hlookup Function from below Data Range.</t>
  </si>
  <si>
    <t>Emp Id</t>
  </si>
  <si>
    <t>Employee Name</t>
  </si>
  <si>
    <t>Dipankar Bhadra</t>
  </si>
  <si>
    <t>Sonali Dhar</t>
  </si>
  <si>
    <t>Milan Chettri</t>
  </si>
  <si>
    <t>Debojit Roy</t>
  </si>
  <si>
    <t>Soumi  Roy</t>
  </si>
  <si>
    <t>Rajiv Prasad</t>
  </si>
  <si>
    <t>EmpName</t>
  </si>
  <si>
    <t>EmpID</t>
  </si>
  <si>
    <t>State</t>
  </si>
  <si>
    <t>Arnab Gangopadhyay</t>
  </si>
  <si>
    <t xml:space="preserve"> Rahul kumar</t>
  </si>
  <si>
    <t>Delhi</t>
  </si>
  <si>
    <t>Ananda Dhara</t>
  </si>
  <si>
    <t xml:space="preserve"> Pooja Sharma</t>
  </si>
  <si>
    <t>pune</t>
  </si>
  <si>
    <t>Prosenjit Das</t>
  </si>
  <si>
    <t xml:space="preserve"> Monika Singh</t>
  </si>
  <si>
    <t>Avijit Das</t>
  </si>
  <si>
    <t>Aditi</t>
  </si>
  <si>
    <t>Chennai</t>
  </si>
  <si>
    <t>Supriya Mukhopadhyay</t>
  </si>
  <si>
    <t xml:space="preserve"> Karan Sharma</t>
  </si>
  <si>
    <t>Piyali Ghosh</t>
  </si>
  <si>
    <t>Khushboo</t>
  </si>
  <si>
    <t>Aihick Pal</t>
  </si>
  <si>
    <t>Sidharth</t>
  </si>
  <si>
    <t>Kolkata</t>
  </si>
  <si>
    <t>Deepak Kumar Gupta</t>
  </si>
  <si>
    <t>Tubhyam</t>
  </si>
  <si>
    <t>Nishith Singh Roy</t>
  </si>
  <si>
    <t>Sumit</t>
  </si>
  <si>
    <t>Tapas Sarkar</t>
  </si>
  <si>
    <t>Mukesh</t>
  </si>
  <si>
    <t>Mumbai</t>
  </si>
  <si>
    <t>Subhankar Bhowmick</t>
  </si>
  <si>
    <t>Jackleen</t>
  </si>
  <si>
    <t>Pune</t>
  </si>
  <si>
    <t>Piyali Biswas</t>
  </si>
  <si>
    <t>Sarath</t>
  </si>
  <si>
    <t>Patna</t>
  </si>
  <si>
    <t>Kunal Samaddar</t>
  </si>
  <si>
    <t>Robert</t>
  </si>
  <si>
    <t>Chandan Kundu</t>
  </si>
  <si>
    <t xml:space="preserve"> Swati Awasthi</t>
  </si>
  <si>
    <t>Diptesh Bhowmick</t>
  </si>
  <si>
    <t>Chandrani Sinha Upadhyay</t>
  </si>
  <si>
    <t>Sukhendu Roy</t>
  </si>
  <si>
    <t>Tinku Devnath</t>
  </si>
  <si>
    <t>Arpan Das</t>
  </si>
  <si>
    <t>Badal Mandal</t>
  </si>
  <si>
    <t>Chitralekha Paul</t>
  </si>
  <si>
    <t>Dipankar Hazra</t>
  </si>
  <si>
    <t>Pritam Saha</t>
  </si>
  <si>
    <t>Pallabi Shaw</t>
  </si>
  <si>
    <t>Prabhat Kumar Lenka</t>
  </si>
  <si>
    <t>Jamir Sardar</t>
  </si>
  <si>
    <t>Biswarup Bose</t>
  </si>
  <si>
    <t>Manan Dutta</t>
  </si>
  <si>
    <t>Sudip Banerjee</t>
  </si>
  <si>
    <t>Souvik Das</t>
  </si>
  <si>
    <t>Arindam Dutta</t>
  </si>
  <si>
    <t>Arun Nag</t>
  </si>
  <si>
    <t>Debasish Thakuri</t>
  </si>
  <si>
    <t>Santosh Thakur</t>
  </si>
  <si>
    <t>Subham Sah</t>
  </si>
  <si>
    <t>Santosh Sharma</t>
  </si>
  <si>
    <t>Debashree Banerjee</t>
  </si>
  <si>
    <t>Bikash Debroy</t>
  </si>
  <si>
    <t>Tanmoy Das</t>
  </si>
  <si>
    <t>Bablu Sarkar</t>
  </si>
  <si>
    <t>Jaydeep Barman</t>
  </si>
  <si>
    <t>Kajal Mukerjee</t>
  </si>
  <si>
    <t>Rupa Paul</t>
  </si>
  <si>
    <t>Priti Pratima Kunjur</t>
  </si>
  <si>
    <t>Chiranjib Bhattacharya</t>
  </si>
  <si>
    <t>Dipak Kumar Chanda</t>
  </si>
  <si>
    <t>Nivedita Roy</t>
  </si>
  <si>
    <t>Samit Dutta Gupta</t>
  </si>
  <si>
    <t>Subrata Trivedi</t>
  </si>
  <si>
    <t>Biplab Samanta</t>
  </si>
  <si>
    <t>Ranjit Sarkar</t>
  </si>
  <si>
    <t>Saurabh Thapa</t>
  </si>
  <si>
    <t>Rohan Srimani</t>
  </si>
  <si>
    <t>Shuvendu Guha</t>
  </si>
  <si>
    <t>Sujan Sarkar</t>
  </si>
  <si>
    <t>Amit Chakraborty</t>
  </si>
  <si>
    <t>Sudipta Dey</t>
  </si>
  <si>
    <t>Partha Das</t>
  </si>
  <si>
    <t>Samim Mallick</t>
  </si>
  <si>
    <t>Dipankar Dhar</t>
  </si>
  <si>
    <t>Putul Singh</t>
  </si>
  <si>
    <t>Bishu Chakraborty</t>
  </si>
  <si>
    <t>Samaptibasak</t>
  </si>
  <si>
    <t>Shajal Dhar</t>
  </si>
  <si>
    <t>Ajay Kumar Gupta</t>
  </si>
  <si>
    <t>Manna Biswas</t>
  </si>
  <si>
    <t>Rajendra Kumar Saha</t>
  </si>
  <si>
    <t>Santanu Saha</t>
  </si>
  <si>
    <t>Jeet Ghosh</t>
  </si>
  <si>
    <t>Anirban Narayan</t>
  </si>
  <si>
    <t>Sanjoy Sarkar</t>
  </si>
  <si>
    <t>Subhankar Dutta</t>
  </si>
  <si>
    <t>Dibakar Bhowmik</t>
  </si>
  <si>
    <t>Shanku Mukherjee</t>
  </si>
  <si>
    <t>Prosenjit Bhattacharjee</t>
  </si>
  <si>
    <t>Surajit Das</t>
  </si>
  <si>
    <t>Arindam Acharya</t>
  </si>
  <si>
    <t>Biswajit Saha</t>
  </si>
  <si>
    <t>Amit Kumar Mishra</t>
  </si>
  <si>
    <t>Anirban Sarkar</t>
  </si>
  <si>
    <t>Kinshuk Dey</t>
  </si>
  <si>
    <t>Sanjib Chatterjee</t>
  </si>
  <si>
    <t>Prasenjit Paul</t>
  </si>
  <si>
    <t>Bikash Sarkar</t>
  </si>
  <si>
    <t>Partha Ghosh</t>
  </si>
  <si>
    <t>Souvik Samanta</t>
  </si>
  <si>
    <t>Abhishek Jha</t>
  </si>
  <si>
    <t>Abhijit Paul</t>
  </si>
  <si>
    <t>Bikash Mandal</t>
  </si>
  <si>
    <t>Leena Singh</t>
  </si>
  <si>
    <t>Naresh Jindal</t>
  </si>
  <si>
    <t>Debjani Ganguli</t>
  </si>
  <si>
    <t>Eunus Parvez</t>
  </si>
  <si>
    <t>Animesh Ganguly</t>
  </si>
  <si>
    <t>Samir Sarkar</t>
  </si>
  <si>
    <t>Sital Banerjee</t>
  </si>
  <si>
    <t>Pankaj Iswarari</t>
  </si>
  <si>
    <t>Pijush Kanti Biswas</t>
  </si>
  <si>
    <t>Baban Kundu</t>
  </si>
  <si>
    <t>Tanmoy Sarkar</t>
  </si>
  <si>
    <t>Jayasree Ghosh</t>
  </si>
  <si>
    <t>Kunal Das</t>
  </si>
  <si>
    <t>Abhimanu Gurung</t>
  </si>
  <si>
    <t>Sumit Bhattacharya</t>
  </si>
  <si>
    <t>Talachendri Raju</t>
  </si>
  <si>
    <t>Taniya Dutta</t>
  </si>
  <si>
    <t>Paritosh Kumar Mondal</t>
  </si>
  <si>
    <t>Papai Dey</t>
  </si>
  <si>
    <t>Sanjay Baraik</t>
  </si>
  <si>
    <t>Sanjib Neogi</t>
  </si>
  <si>
    <t>Prasanjit Dhar</t>
  </si>
  <si>
    <t>Arindam Ghosh</t>
  </si>
  <si>
    <t>Debosmita Bose</t>
  </si>
  <si>
    <t>Surajit Paul</t>
  </si>
  <si>
    <t>Sanjeeb Sarkar</t>
  </si>
  <si>
    <t>Bibhuti Ranjan Roy</t>
  </si>
  <si>
    <t>Santosh Kumar Singh</t>
  </si>
  <si>
    <t>Rajashree Roychowdhury</t>
  </si>
  <si>
    <t>Samar Mandal</t>
  </si>
  <si>
    <t>Biltu Dey</t>
  </si>
  <si>
    <t>Satyajit Mitra</t>
  </si>
  <si>
    <t>Amitava Roy</t>
  </si>
  <si>
    <t>Mithilesh Kumar Singh</t>
  </si>
  <si>
    <t>Ahindra Podder</t>
  </si>
  <si>
    <t>Biswajit Chakraborty</t>
  </si>
  <si>
    <t>Susanta Sarkar</t>
  </si>
  <si>
    <t>Amit Kundu</t>
  </si>
  <si>
    <t>Jaydeep Das</t>
  </si>
  <si>
    <t>Ashish Chakraborty</t>
  </si>
  <si>
    <t>Tuhin Subhra Sarkar</t>
  </si>
  <si>
    <t>Biswadeep Sinha</t>
  </si>
  <si>
    <t>Mrinmoy Dey</t>
  </si>
  <si>
    <t>Arindam Karmakar</t>
  </si>
  <si>
    <t>Raju Kar</t>
  </si>
  <si>
    <t>Shyama Gupta</t>
  </si>
  <si>
    <t>Mousumi Biswas</t>
  </si>
  <si>
    <t>Madhumoy Mukherjee</t>
  </si>
  <si>
    <t>Soumit Roy Chowdhury</t>
  </si>
  <si>
    <t>Nandita Chatterjee</t>
  </si>
  <si>
    <t>Debraj Maity</t>
  </si>
  <si>
    <t>Dilip Kumar Sinha</t>
  </si>
  <si>
    <t>Arup Sil</t>
  </si>
  <si>
    <t>Santanu Mandal</t>
  </si>
  <si>
    <t>Abhishek Ghosal</t>
  </si>
  <si>
    <t>Sunita Debnath</t>
  </si>
  <si>
    <t>Arpan Chakrabarty</t>
  </si>
  <si>
    <t>Sweta Dutta</t>
  </si>
  <si>
    <t>Aslam Ali Chowdhury</t>
  </si>
  <si>
    <t>Roshni Chettri</t>
  </si>
  <si>
    <t>Jayanta Das</t>
  </si>
  <si>
    <t>Papia Rani Das</t>
  </si>
  <si>
    <t>Saikath Banerjee</t>
  </si>
  <si>
    <t>Diwakar Kumar Prasad</t>
  </si>
  <si>
    <t>Sonia Sarkar</t>
  </si>
  <si>
    <t>Pabitra Kumar Saha</t>
  </si>
  <si>
    <t>Arpita Pramanic</t>
  </si>
  <si>
    <t>Abhishek Das</t>
  </si>
  <si>
    <t>Rana Dey</t>
  </si>
  <si>
    <t>Ankush Lohia</t>
  </si>
  <si>
    <t>Sriparna Guha</t>
  </si>
  <si>
    <t>Joydeb Das</t>
  </si>
  <si>
    <t>Mohit Bera</t>
  </si>
  <si>
    <t>Rupak Mitra</t>
  </si>
  <si>
    <t>Sujoy Basu</t>
  </si>
  <si>
    <t>Tanmay Biswas</t>
  </si>
  <si>
    <t>Sukamal Sarkar</t>
  </si>
  <si>
    <t>Swati Samanta</t>
  </si>
  <si>
    <t>Rakesh Kundu</t>
  </si>
  <si>
    <t>Anupam Acharjee</t>
  </si>
  <si>
    <t>Jiban Dey</t>
  </si>
  <si>
    <t>Partha Pradip Mandal</t>
  </si>
  <si>
    <t>Rupam Roy</t>
  </si>
  <si>
    <t>Arindam Biswas</t>
  </si>
  <si>
    <t>Sanjit Sutradhar</t>
  </si>
  <si>
    <t>Deepak Mahato</t>
  </si>
  <si>
    <t>Rimpa Mahato</t>
  </si>
  <si>
    <t>Rajib Saha</t>
  </si>
  <si>
    <t>Debarati Mitra</t>
  </si>
  <si>
    <t>Subhankar Saha</t>
  </si>
  <si>
    <t>Anindita Roy</t>
  </si>
  <si>
    <t>Indrani das</t>
  </si>
  <si>
    <t xml:space="preserve">Shreya  Dhar </t>
  </si>
  <si>
    <t>Annicattu Mathew Alex</t>
  </si>
  <si>
    <t>Shampa Datta</t>
  </si>
  <si>
    <t>Biswajit Sarkar</t>
  </si>
  <si>
    <t>Debtanay Chatterjee</t>
  </si>
  <si>
    <t>Bir Singh</t>
  </si>
  <si>
    <t>Sabyasachi Ghosh</t>
  </si>
  <si>
    <t>Sabyasachi Mukherjee</t>
  </si>
  <si>
    <t>Rana Deep Saiba</t>
  </si>
  <si>
    <t>Trinath Dhar</t>
  </si>
  <si>
    <t>Sukumar Tarafdar</t>
  </si>
  <si>
    <t>Shisir Rana</t>
  </si>
  <si>
    <t>Kanchan Raj Shaw</t>
  </si>
  <si>
    <t>Alivia Chakraborty</t>
  </si>
  <si>
    <t>Dolon Sarkar</t>
  </si>
  <si>
    <t>Prasant Das</t>
  </si>
  <si>
    <t>Bulu Das</t>
  </si>
  <si>
    <t>Anjana Mohanta</t>
  </si>
  <si>
    <t>Lutfa Khatu</t>
  </si>
  <si>
    <t>Archana Dutta</t>
  </si>
  <si>
    <t>Tathagata Pandey</t>
  </si>
  <si>
    <t>Prem Pal</t>
  </si>
  <si>
    <t>Tarak Paul</t>
  </si>
  <si>
    <t>Deepak Toppo</t>
  </si>
  <si>
    <t>Nirmallya Chatterjee</t>
  </si>
  <si>
    <t>Santanu Banerjee</t>
  </si>
  <si>
    <t>Shiv Kumar Jha</t>
  </si>
  <si>
    <t>Palash Paul</t>
  </si>
  <si>
    <t>Bimalendu Dey</t>
  </si>
  <si>
    <t>Vinay Kumar Singh</t>
  </si>
  <si>
    <t>Sanjib Sharma</t>
  </si>
  <si>
    <t>Deoraj Sharma</t>
  </si>
  <si>
    <t>Rabi Prasad</t>
  </si>
  <si>
    <t>Avijit Kumar Pandit</t>
  </si>
  <si>
    <t>Dibyendu Mandal</t>
  </si>
  <si>
    <t>Shiv Prasad Yadav</t>
  </si>
  <si>
    <t>Raju Sarkar</t>
  </si>
  <si>
    <t>Dipankar Ghosh</t>
  </si>
  <si>
    <t>Leena Saha</t>
  </si>
  <si>
    <t>Munmun Das</t>
  </si>
  <si>
    <t>Pritam Prasad Choudhury</t>
  </si>
  <si>
    <t>Sushobhon Saha</t>
  </si>
  <si>
    <t>Abhijit Roy Barma</t>
  </si>
  <si>
    <t>Arnab Sengupta</t>
  </si>
  <si>
    <t>Puspita Chattopadhyay</t>
  </si>
  <si>
    <t>Abhishek Sengupta</t>
  </si>
  <si>
    <t>Gopal Roy</t>
  </si>
  <si>
    <t>Md Mahmood Azam</t>
  </si>
  <si>
    <t>Arindam Bag</t>
  </si>
  <si>
    <t>Soumita Chatterjee</t>
  </si>
  <si>
    <t>Baruna Goswami</t>
  </si>
  <si>
    <t>Saikat Mondal</t>
  </si>
  <si>
    <t>Deep Sengupta</t>
  </si>
  <si>
    <t>Nishat .</t>
  </si>
  <si>
    <t>Manosh Chakrabortty</t>
  </si>
  <si>
    <t>Sanjoy Ghosh</t>
  </si>
  <si>
    <t>Priyanka Rakshit</t>
  </si>
  <si>
    <t>Biswajit Khanra</t>
  </si>
  <si>
    <t>Sita Ram Prasad</t>
  </si>
  <si>
    <t>Santanu Mallick</t>
  </si>
  <si>
    <t>Shampa Roy</t>
  </si>
  <si>
    <t>Parvin Roy</t>
  </si>
  <si>
    <t>Rupasree Rani Das</t>
  </si>
  <si>
    <t>Pranendu Kumar Gupta</t>
  </si>
  <si>
    <t>Debjyoti Adhikary</t>
  </si>
  <si>
    <t>Surela Ganguly</t>
  </si>
  <si>
    <t>Abhishak Marik</t>
  </si>
  <si>
    <t>Partha Mishra</t>
  </si>
  <si>
    <t>Rajib Kumar Ghosh</t>
  </si>
  <si>
    <t>Siddhartha Sanyal</t>
  </si>
  <si>
    <t>Mukesh Singh</t>
  </si>
  <si>
    <t>Subroto Ghosh</t>
  </si>
  <si>
    <t>Prasenjit Bhowmick</t>
  </si>
  <si>
    <t>Bhaskar Dutta</t>
  </si>
  <si>
    <t>Pritam Karmakar</t>
  </si>
  <si>
    <t>Randhir Pandit</t>
  </si>
  <si>
    <t>Tupsi Bose</t>
  </si>
  <si>
    <t>Somnath Pandit</t>
  </si>
  <si>
    <t>Laltu Roy</t>
  </si>
  <si>
    <t>Rinku Balmiki</t>
  </si>
  <si>
    <t>Sumita Malakar</t>
  </si>
  <si>
    <t>Bikram Sarkar</t>
  </si>
  <si>
    <t>Dipse Bhowmick</t>
  </si>
  <si>
    <t>Shyam Pal Chowdhury</t>
  </si>
  <si>
    <t>Mukesh Kumar  Jha</t>
  </si>
  <si>
    <t>Sumit Kumar Das</t>
  </si>
  <si>
    <t>Dipankar Saha</t>
  </si>
  <si>
    <t>Sujoy Naskar</t>
  </si>
  <si>
    <t>Ashmita Chanda</t>
  </si>
  <si>
    <t>Rajib Jha</t>
  </si>
  <si>
    <t>Ashis Roy</t>
  </si>
  <si>
    <t>Amit Rakshit</t>
  </si>
  <si>
    <t>Mushtaq Alam</t>
  </si>
  <si>
    <t>Kaushik Chakraborty</t>
  </si>
  <si>
    <t>Asish Tewari</t>
  </si>
  <si>
    <t>Amrita Sarki</t>
  </si>
  <si>
    <t>Pranab Khanra</t>
  </si>
  <si>
    <t>Sanchari Gupta</t>
  </si>
  <si>
    <t>Abhishek Gupta</t>
  </si>
  <si>
    <t>Amitabh Rout</t>
  </si>
  <si>
    <t>Himangshu Mandal</t>
  </si>
  <si>
    <t>Shyam Sundar Chauhan</t>
  </si>
  <si>
    <t>Nandu Biswakarma</t>
  </si>
  <si>
    <t>Rinki Paul</t>
  </si>
  <si>
    <t>Abhijeet Ghosh</t>
  </si>
  <si>
    <t>Darwin Dhali</t>
  </si>
  <si>
    <t>Khusbu Sha</t>
  </si>
  <si>
    <t>Pias Karmakar</t>
  </si>
  <si>
    <t>Naveen Srivastava</t>
  </si>
  <si>
    <t>Debjani Sarkar</t>
  </si>
  <si>
    <t>Sounak Mukherjee</t>
  </si>
  <si>
    <t>Akanta Samaddar</t>
  </si>
  <si>
    <t>Satyajit Bhadra Roy</t>
  </si>
  <si>
    <t>Debasish Mazumder</t>
  </si>
  <si>
    <t>Priyanka Krishna Barman</t>
  </si>
  <si>
    <t>Tamal Debnath</t>
  </si>
  <si>
    <t>Chandra Kanta Majumder</t>
  </si>
  <si>
    <t>Rajesh Kewat</t>
  </si>
  <si>
    <t>Sourav Dutta</t>
  </si>
  <si>
    <t>Priyankar Chatterjee</t>
  </si>
  <si>
    <t>Santosh Kumar Prasad</t>
  </si>
  <si>
    <t>Somnath Bose</t>
  </si>
  <si>
    <t>Bidishya Sarkar</t>
  </si>
  <si>
    <t>Kasturi Chakraborty</t>
  </si>
  <si>
    <t>Ripak Debnath</t>
  </si>
  <si>
    <t>Arpita Ghosh</t>
  </si>
  <si>
    <t>Rajdeep Singh</t>
  </si>
  <si>
    <t>Ashim Sharma</t>
  </si>
  <si>
    <t>Arup Sarkar</t>
  </si>
  <si>
    <t>Praveen Kumar Jha</t>
  </si>
  <si>
    <t>Aritra Majumder</t>
  </si>
  <si>
    <t>Indrajit Adhikary</t>
  </si>
  <si>
    <t>Mousumi Das</t>
  </si>
  <si>
    <t>Madhumita Paul Chowdhury</t>
  </si>
  <si>
    <t>Pritam Bose</t>
  </si>
  <si>
    <t>Saikat Tarafder</t>
  </si>
  <si>
    <t>Tilak Bahadur</t>
  </si>
  <si>
    <t>Koushik Lohan</t>
  </si>
  <si>
    <t>Tirthankar Majumdar</t>
  </si>
  <si>
    <t>Neelam Chauhan</t>
  </si>
  <si>
    <t>Bapi Dey</t>
  </si>
  <si>
    <t>Manoj Kumar Rai</t>
  </si>
  <si>
    <t>Raju Samaddar</t>
  </si>
  <si>
    <t xml:space="preserve">Dipika Dutta </t>
  </si>
  <si>
    <t>Chiranjit Ghosh</t>
  </si>
  <si>
    <t>Soumyamoy Bakshi</t>
  </si>
  <si>
    <t>Gautam Sengupta</t>
  </si>
  <si>
    <t>Sourav Brahmachary</t>
  </si>
  <si>
    <t>Vishal Singha</t>
  </si>
  <si>
    <t>Maitrayee Bhattacharjee</t>
  </si>
  <si>
    <t>Bhaskar Saha</t>
  </si>
  <si>
    <t>Dipanta Banerjee</t>
  </si>
  <si>
    <t>Md Irshad Alam</t>
  </si>
  <si>
    <t>Raja Thapa</t>
  </si>
  <si>
    <t>Biswarup Dutta</t>
  </si>
  <si>
    <t>Biswajit Dutta</t>
  </si>
  <si>
    <t>Samrat Bhadra</t>
  </si>
  <si>
    <t>Ramesh Rao</t>
  </si>
  <si>
    <t>Kartick Deb</t>
  </si>
  <si>
    <t>Sushmit Ghosh</t>
  </si>
  <si>
    <t>Raju Paswan</t>
  </si>
  <si>
    <t>Satrajit Banik</t>
  </si>
  <si>
    <t>Pankaj Jaiswal</t>
  </si>
  <si>
    <t>Sovan Paul</t>
  </si>
  <si>
    <t>Partha Sen</t>
  </si>
  <si>
    <t>Sima Ghosh</t>
  </si>
  <si>
    <t>Biswajit Mandal</t>
  </si>
  <si>
    <t>Sushil Agarwal</t>
  </si>
  <si>
    <t>Imamuddin Ali</t>
  </si>
  <si>
    <t>Sujay Deb</t>
  </si>
  <si>
    <t>Sonal Dey</t>
  </si>
  <si>
    <t>Subhadeep Banerjee</t>
  </si>
  <si>
    <t>Avijit Chowdhury</t>
  </si>
  <si>
    <t>Moumita Chatterjee</t>
  </si>
  <si>
    <t>Niranjan Saha</t>
  </si>
  <si>
    <t>Surojit Saha</t>
  </si>
  <si>
    <t>Santanu Pal</t>
  </si>
  <si>
    <t>Pintu Raha</t>
  </si>
  <si>
    <t>Arijit Santra</t>
  </si>
  <si>
    <t>Rajesh Kr Sonakar</t>
  </si>
  <si>
    <t>Kaushik Boral</t>
  </si>
  <si>
    <t>Rintu Gupta</t>
  </si>
  <si>
    <t>Probir Chakrabarty</t>
  </si>
  <si>
    <t>Priyanka Ghosh</t>
  </si>
  <si>
    <t>Riya Chhetri</t>
  </si>
  <si>
    <t>Agniv Basak</t>
  </si>
  <si>
    <t>Naina Khati</t>
  </si>
  <si>
    <t>Nitu Chhetri</t>
  </si>
  <si>
    <t>Madhumita Chakraborty</t>
  </si>
  <si>
    <t>Proshanta Adhikary</t>
  </si>
  <si>
    <t>Supriti Roy</t>
  </si>
  <si>
    <t>Preetam Sen Gupta</t>
  </si>
  <si>
    <t>Soumya Dutta</t>
  </si>
  <si>
    <t>Sk Sultan Alam</t>
  </si>
  <si>
    <t>Tanmoy Nath</t>
  </si>
  <si>
    <t>Mintu Kumar Chakraborty</t>
  </si>
  <si>
    <t>Dhiren Rai</t>
  </si>
  <si>
    <t>Raju Dey</t>
  </si>
  <si>
    <t>Chandan Prasad</t>
  </si>
  <si>
    <t>Deepak Sharma</t>
  </si>
  <si>
    <t>Sagar Kundu</t>
  </si>
  <si>
    <t>Ajay Routh</t>
  </si>
  <si>
    <t>Manga Thapa</t>
  </si>
  <si>
    <t>Sajib Biswas</t>
  </si>
  <si>
    <t>Somnath Mahanta</t>
  </si>
  <si>
    <t>Joee Sarkar</t>
  </si>
  <si>
    <t>Sampa Mukherjee</t>
  </si>
  <si>
    <t>Amit Biswas</t>
  </si>
  <si>
    <t>Gautam Sur</t>
  </si>
  <si>
    <t>Manmit Singh</t>
  </si>
  <si>
    <t>Sandip Malakar</t>
  </si>
  <si>
    <t>Krishna Chandra Roy</t>
  </si>
  <si>
    <t>Neelesh Thapa</t>
  </si>
  <si>
    <t>Suman Dutta</t>
  </si>
  <si>
    <t>Jayanta Pramanick</t>
  </si>
  <si>
    <t>Samuel Aashish</t>
  </si>
  <si>
    <t>Prosenjit Biswas</t>
  </si>
  <si>
    <t>Nirmal Roy</t>
  </si>
  <si>
    <t>Suman Sarkar</t>
  </si>
  <si>
    <t>Abhijeet Deb</t>
  </si>
  <si>
    <t>Riyanka Bagchi</t>
  </si>
  <si>
    <t>Avijit Roy</t>
  </si>
  <si>
    <t>Bapan Sarkar</t>
  </si>
  <si>
    <t>Sankhand Mishra</t>
  </si>
  <si>
    <t>Ayan Ghosh</t>
  </si>
  <si>
    <t>Archita Bhattacharjee</t>
  </si>
  <si>
    <t>Angshuman Das</t>
  </si>
  <si>
    <t>Bhaswati Dasgupta</t>
  </si>
  <si>
    <t>Subhodip Roy</t>
  </si>
  <si>
    <t>Samrat Guha</t>
  </si>
  <si>
    <t>Sankar Halder</t>
  </si>
  <si>
    <t>Shah Alam</t>
  </si>
  <si>
    <t>Sujit Sengupta</t>
  </si>
  <si>
    <t>Bikash Limboo</t>
  </si>
  <si>
    <t>Amit Ghosh</t>
  </si>
  <si>
    <t>Rupali Bhattacharya</t>
  </si>
  <si>
    <t>Ashim Acharjee</t>
  </si>
  <si>
    <t>Rakesh Kejriwal</t>
  </si>
  <si>
    <t>Mithun Singha</t>
  </si>
  <si>
    <t>Antony Bidesh Biswas</t>
  </si>
  <si>
    <t>Rohini Mitra</t>
  </si>
  <si>
    <t>Chandan Das</t>
  </si>
  <si>
    <t>Dipayan Saha</t>
  </si>
  <si>
    <t>Samiran Barai</t>
  </si>
  <si>
    <t>Moumita Chowdhury</t>
  </si>
  <si>
    <t>Iman Kalyan Ghosh</t>
  </si>
  <si>
    <t>Srabantika Das</t>
  </si>
  <si>
    <t>Ayantika Saha</t>
  </si>
  <si>
    <t>Ankush Sarkar</t>
  </si>
  <si>
    <t>Jinnat Ali</t>
  </si>
  <si>
    <t>Mohan Kumar Singha</t>
  </si>
  <si>
    <t>Bablu Ghosh</t>
  </si>
  <si>
    <t>Raju Mishra</t>
  </si>
  <si>
    <t>Sujit Thakur</t>
  </si>
  <si>
    <t>Sampali Sadhukhan</t>
  </si>
  <si>
    <t>Sushmita Shrestha</t>
  </si>
  <si>
    <t>Bhabes Kabiraj</t>
  </si>
  <si>
    <t>Susmita Pramanik</t>
  </si>
  <si>
    <t>Amitabh Roy</t>
  </si>
  <si>
    <t>Amrita Raha</t>
  </si>
  <si>
    <t>Amit Roy</t>
  </si>
  <si>
    <t>Poulomi Banerjee</t>
  </si>
  <si>
    <t>Amit Kumar Damai</t>
  </si>
  <si>
    <t>Suprovat Sen</t>
  </si>
  <si>
    <t>Mintu Rajbanshi</t>
  </si>
  <si>
    <t>Ranajit Ghosh</t>
  </si>
  <si>
    <t>Sudakshina Saha</t>
  </si>
  <si>
    <t>Sukalyan Pathak</t>
  </si>
  <si>
    <t>Chanda Chhetri</t>
  </si>
  <si>
    <t>Deepak Kumar Sinha</t>
  </si>
  <si>
    <t>Abhijit Roy</t>
  </si>
  <si>
    <t>Bipen Gurung</t>
  </si>
  <si>
    <t>Debabrata Dey</t>
  </si>
  <si>
    <t>Uttam Roy</t>
  </si>
  <si>
    <t>Munna Gond</t>
  </si>
  <si>
    <t>Arup Banerjee</t>
  </si>
  <si>
    <t>Rahul Kumar Dey</t>
  </si>
  <si>
    <t>Malay Rakshit</t>
  </si>
  <si>
    <t>Niladri Sarkar</t>
  </si>
  <si>
    <t>Indira Das</t>
  </si>
  <si>
    <t>Debasish Chakraborty</t>
  </si>
  <si>
    <t>Pushpa Mahata</t>
  </si>
  <si>
    <t>Suvankar Shil</t>
  </si>
  <si>
    <t>Sukanya Roy</t>
  </si>
  <si>
    <t>Bappa Sutradhar</t>
  </si>
  <si>
    <t>Raju Hela</t>
  </si>
  <si>
    <t>Santosh Singh</t>
  </si>
  <si>
    <t>Sabyasachi Roy</t>
  </si>
  <si>
    <t>Madhumita Paul</t>
  </si>
  <si>
    <t>Tapas Poddar</t>
  </si>
  <si>
    <t>Gopal Sutradhar</t>
  </si>
  <si>
    <t>Saibal Sen</t>
  </si>
  <si>
    <t>Subrata Paul</t>
  </si>
  <si>
    <t>Debashis Biswas</t>
  </si>
  <si>
    <t>Nand Kumar Mishra</t>
  </si>
  <si>
    <t>Angel Mary Iswari</t>
  </si>
  <si>
    <t>Sintu Mishra</t>
  </si>
  <si>
    <t>Minhaz Hossain</t>
  </si>
  <si>
    <t>Krishna Kumar Sah</t>
  </si>
  <si>
    <t>Jayanta Hazra</t>
  </si>
  <si>
    <t>Debasree Roy Chodhury</t>
  </si>
  <si>
    <t>Abhishek Roy Choudhury</t>
  </si>
  <si>
    <t>Bipul Roy</t>
  </si>
  <si>
    <t>Nabajit Mahato</t>
  </si>
  <si>
    <t>Supriya Ghosh</t>
  </si>
  <si>
    <t>Priya Banerjee</t>
  </si>
  <si>
    <t>Subrata Karmakar</t>
  </si>
  <si>
    <t>Sugandha Ganguly</t>
  </si>
  <si>
    <t>Anita Ghosh</t>
  </si>
  <si>
    <t>Biplab Mondal</t>
  </si>
  <si>
    <t>Soumen Mondal</t>
  </si>
  <si>
    <t>Sujit Goswami</t>
  </si>
  <si>
    <t>Rumpa Maity</t>
  </si>
  <si>
    <t>Monsur Molla</t>
  </si>
  <si>
    <t>Priyanka Sarkar</t>
  </si>
  <si>
    <t>Ritibrata Das</t>
  </si>
  <si>
    <t>Samaresh Roy</t>
  </si>
  <si>
    <t>Dipankar Chakraborty</t>
  </si>
  <si>
    <t>Rupa Pradhan</t>
  </si>
  <si>
    <t>Hiru Das</t>
  </si>
  <si>
    <t>Bikram Gupta</t>
  </si>
  <si>
    <t>Tapaswi Subba</t>
  </si>
  <si>
    <t>Ratnadeep Paul</t>
  </si>
  <si>
    <t>Tapas Patra</t>
  </si>
  <si>
    <t>Paulami Ghosh</t>
  </si>
  <si>
    <t>Rima Dey</t>
  </si>
  <si>
    <t>Dipsikha Das</t>
  </si>
  <si>
    <t>Jinia Karmakar</t>
  </si>
  <si>
    <t>Asik Ali Khan</t>
  </si>
  <si>
    <t>Dipak acharya</t>
  </si>
  <si>
    <t>Ashwini Das</t>
  </si>
  <si>
    <t>Monalisa Chatterjee</t>
  </si>
  <si>
    <t>Debjyoti Roy</t>
  </si>
  <si>
    <t>Debojyoti Chowdhury</t>
  </si>
  <si>
    <t>Sujit Kumar Kundu</t>
  </si>
  <si>
    <t>Tanmay Dutta</t>
  </si>
  <si>
    <t>Souvik Mondal</t>
  </si>
  <si>
    <t>Bilkis Begum</t>
  </si>
  <si>
    <t>Rakesh Prasad</t>
  </si>
  <si>
    <t>Soumyakanta Mandal</t>
  </si>
  <si>
    <t>Priyanka Halder</t>
  </si>
  <si>
    <t>Sougata Sanpui</t>
  </si>
  <si>
    <t>Rajan Sharma</t>
  </si>
  <si>
    <t>Debasis Ghatak</t>
  </si>
  <si>
    <t>Priyanka Bose</t>
  </si>
  <si>
    <t>Moloy Roy</t>
  </si>
  <si>
    <t>Sudip Saha</t>
  </si>
  <si>
    <t>Indrajit Banerjee</t>
  </si>
  <si>
    <t>Chetna Gazmer</t>
  </si>
  <si>
    <t>Bipad Bhanja Karmakar</t>
  </si>
  <si>
    <t>Kalyan Biswas</t>
  </si>
  <si>
    <t>Sujan Kumar Ray</t>
  </si>
  <si>
    <t>Kampa Banerjee</t>
  </si>
  <si>
    <t>Suchitra Subba</t>
  </si>
  <si>
    <t>Birendra Prasad</t>
  </si>
  <si>
    <t>Avik Roy</t>
  </si>
  <si>
    <t>Garima Gupta</t>
  </si>
  <si>
    <t>Ranjit Kumar Thakur</t>
  </si>
  <si>
    <t>Bikash Giri</t>
  </si>
  <si>
    <t>Raju Kundu</t>
  </si>
  <si>
    <t>Shibashish Singha</t>
  </si>
  <si>
    <t>Surajit Sahu</t>
  </si>
  <si>
    <t>Suchismita Lahiri</t>
  </si>
  <si>
    <t>Debdulal Debnath</t>
  </si>
  <si>
    <t>Sudipta Sarkar</t>
  </si>
  <si>
    <t>Dipak Paul</t>
  </si>
  <si>
    <t>Supartha Roy</t>
  </si>
  <si>
    <t>Sudha Roy</t>
  </si>
  <si>
    <t>Vikash Prasad</t>
  </si>
  <si>
    <t>Anjan Roy</t>
  </si>
  <si>
    <t>Sayantan Ghosh</t>
  </si>
  <si>
    <t>Bapi Bisai</t>
  </si>
  <si>
    <t>Jitendra Mahato</t>
  </si>
  <si>
    <t>Subhankar Ghosh</t>
  </si>
  <si>
    <t>Raju Ghosh</t>
  </si>
  <si>
    <t>Aniruddha Basudhar</t>
  </si>
  <si>
    <t>Satabdi Chakraborty</t>
  </si>
  <si>
    <t>Sonjoy Manna</t>
  </si>
  <si>
    <t>Sunirmal Chakraborty</t>
  </si>
  <si>
    <t>Krushanu Kr Padhi</t>
  </si>
  <si>
    <t>Rohit Kumar Mondal</t>
  </si>
  <si>
    <t>Ankur Bhattacharjee</t>
  </si>
  <si>
    <t>Mampi Das</t>
  </si>
  <si>
    <t>Amit Kumar Sharma</t>
  </si>
  <si>
    <t>Subhashish Paul</t>
  </si>
  <si>
    <t>Priyankar Ghosh</t>
  </si>
  <si>
    <t>Rakesh Thakur</t>
  </si>
  <si>
    <t>Sandip Banerjee</t>
  </si>
  <si>
    <t>Sumanta Chatterjee</t>
  </si>
  <si>
    <t>Sujay Majhi</t>
  </si>
  <si>
    <t>Denzil Shaikh</t>
  </si>
  <si>
    <t>Md.Sahanuz Zaman</t>
  </si>
  <si>
    <t>Debanjan Samaddar</t>
  </si>
  <si>
    <t>Faijuddin ghazi</t>
  </si>
  <si>
    <t>Manoj Dutta</t>
  </si>
  <si>
    <t>Partha Saha</t>
  </si>
  <si>
    <t>Abhishek Sarkar</t>
  </si>
  <si>
    <t>Chintu Sen</t>
  </si>
  <si>
    <t>Biswajeet Goswami</t>
  </si>
  <si>
    <t>Kishore Kumar Singha</t>
  </si>
  <si>
    <t>Sourav Podder</t>
  </si>
  <si>
    <t>Susmita Palit</t>
  </si>
  <si>
    <t>Biswadeep Saha</t>
  </si>
  <si>
    <t>Rudra Sankar Sasmal</t>
  </si>
  <si>
    <t>Jayanti Sharma</t>
  </si>
  <si>
    <t>Samrat Roy</t>
  </si>
  <si>
    <t>Ashim Modak</t>
  </si>
  <si>
    <t>Soma Barua</t>
  </si>
  <si>
    <t>Sujit Kundu</t>
  </si>
  <si>
    <t>Subroto Das</t>
  </si>
  <si>
    <t>Ishan Chowdhury</t>
  </si>
  <si>
    <t>Sandip Chowdhury</t>
  </si>
  <si>
    <t>Sourav Ghosh</t>
  </si>
  <si>
    <t>Pralay Sankar Naskar</t>
  </si>
  <si>
    <t>Debasish Acharyya</t>
  </si>
  <si>
    <t>Sandip Kumar Das</t>
  </si>
  <si>
    <t>Surajit Kumar Roy</t>
  </si>
  <si>
    <t>Mallika Das</t>
  </si>
  <si>
    <t>Dwipta Banerjee</t>
  </si>
  <si>
    <t>Md. Gulamkadir Ansari</t>
  </si>
  <si>
    <t>Soumyajyoti Dutta</t>
  </si>
  <si>
    <t>Himanshu Sarkar</t>
  </si>
  <si>
    <t>Koushik Nath</t>
  </si>
  <si>
    <t>Pradip Thapa</t>
  </si>
  <si>
    <t>Soumen Mitra</t>
  </si>
  <si>
    <t>Nazir Hossain</t>
  </si>
  <si>
    <t>Soma Mahato</t>
  </si>
  <si>
    <t>Suman Deb Sarma</t>
  </si>
  <si>
    <t>Soma Chakraborty</t>
  </si>
  <si>
    <t>Subrata Barman</t>
  </si>
  <si>
    <t>Anirban Chatterjee</t>
  </si>
  <si>
    <t>Atashi Adak</t>
  </si>
  <si>
    <t>Debabrata Dua</t>
  </si>
  <si>
    <t>Vibhuti Maharaj</t>
  </si>
  <si>
    <t>Arpit Roy</t>
  </si>
  <si>
    <t>Abhisek Bose</t>
  </si>
  <si>
    <t>Ananta Saha</t>
  </si>
  <si>
    <t>Indrasena Basu</t>
  </si>
  <si>
    <t>Prosenjeet Dey</t>
  </si>
  <si>
    <t>Sukanta Sikder</t>
  </si>
  <si>
    <t>Prakash Gupta</t>
  </si>
  <si>
    <t>Soumya Bindi</t>
  </si>
  <si>
    <t>Gourab Das</t>
  </si>
  <si>
    <t>Atanu Kumar Mishra</t>
  </si>
  <si>
    <t>Arijit Ganguly</t>
  </si>
  <si>
    <t>Priyatanu Roy</t>
  </si>
  <si>
    <t>Jagath Gurung</t>
  </si>
  <si>
    <t>Sujoy Ghosh</t>
  </si>
  <si>
    <t>Susmita Das</t>
  </si>
  <si>
    <t>Anjan Kumar Rana</t>
  </si>
  <si>
    <t>Avijit Podder</t>
  </si>
  <si>
    <t>Kaushik Kumar Ghosh</t>
  </si>
  <si>
    <t>Manik Kumarm Paria</t>
  </si>
  <si>
    <t>Anil Kumar Singh</t>
  </si>
  <si>
    <t>Gopal Paul</t>
  </si>
  <si>
    <t>Picklu Ghosh</t>
  </si>
  <si>
    <t>Avijit Mondal</t>
  </si>
  <si>
    <t>Deepanjan Sur</t>
  </si>
  <si>
    <t>Raju Chowdhury</t>
  </si>
  <si>
    <t>Ananda Prasad Bagchi</t>
  </si>
  <si>
    <t>Arun Sharma</t>
  </si>
  <si>
    <t>Anindita Bhoumik</t>
  </si>
  <si>
    <t>Bishal Gurung</t>
  </si>
  <si>
    <t>Shyamal Das</t>
  </si>
  <si>
    <t>Mirza Ahmed</t>
  </si>
  <si>
    <t>Somnath Pramanick</t>
  </si>
  <si>
    <t>Sukumar Sarkar</t>
  </si>
  <si>
    <t>Manjit Kaur</t>
  </si>
  <si>
    <t>Md.Abdus Salam</t>
  </si>
  <si>
    <t>Paulami Chakraborty</t>
  </si>
  <si>
    <t>Asish Biswas</t>
  </si>
  <si>
    <t>Somesh Kumar Mahato</t>
  </si>
  <si>
    <t>Sumit Kar</t>
  </si>
  <si>
    <t>Sanjay Prasad</t>
  </si>
  <si>
    <t>Biswajit Paul</t>
  </si>
  <si>
    <t>Chanchal Sharma</t>
  </si>
  <si>
    <t>Suvankar Das</t>
  </si>
  <si>
    <t>Babli Roy</t>
  </si>
  <si>
    <t>Subhajit Chakroborty</t>
  </si>
  <si>
    <t>Souvik Paul</t>
  </si>
  <si>
    <t>Md. Sadab-Ur-Rahman</t>
  </si>
  <si>
    <t>Sourav Dasmahapatra</t>
  </si>
  <si>
    <t>Suman Saha</t>
  </si>
  <si>
    <t>Soumen Ganguly</t>
  </si>
  <si>
    <t>Anup Kumar Yadav</t>
  </si>
  <si>
    <t>Saurav Guha</t>
  </si>
  <si>
    <t>Nila Ghosh</t>
  </si>
  <si>
    <t>Soumya Biswas</t>
  </si>
  <si>
    <t>Abhijit Bhattacharya</t>
  </si>
  <si>
    <t>Priyanka Dey Sarkar</t>
  </si>
  <si>
    <t>Prakash Tamang</t>
  </si>
  <si>
    <t>Jayant Kumar Mohanta</t>
  </si>
  <si>
    <t>Manoj Gogoi</t>
  </si>
  <si>
    <t>Sukla Das</t>
  </si>
  <si>
    <t>Sourav Sengupta</t>
  </si>
  <si>
    <t>Prasanta Das</t>
  </si>
  <si>
    <t>Sharmila Nag</t>
  </si>
  <si>
    <t>Tusher Kanti Jana</t>
  </si>
  <si>
    <t>Parisoma Das</t>
  </si>
  <si>
    <t>Abshik Maity</t>
  </si>
  <si>
    <t>Charandeep Singh</t>
  </si>
  <si>
    <t>Elvira Lewis</t>
  </si>
  <si>
    <t>Saikat Maity</t>
  </si>
  <si>
    <t>Chirantan Gupta</t>
  </si>
  <si>
    <t>Subhasis Das</t>
  </si>
  <si>
    <t>Dipen Rai</t>
  </si>
  <si>
    <t>Manas Bose</t>
  </si>
  <si>
    <t>Ripesh Thapa</t>
  </si>
  <si>
    <t>Sayed Naiyer Hassan</t>
  </si>
  <si>
    <t>Keka Mitra</t>
  </si>
  <si>
    <t>Asoke Kumar Saha</t>
  </si>
  <si>
    <t>Tanudipa Bose</t>
  </si>
  <si>
    <t>Mithun Chowdhury</t>
  </si>
  <si>
    <t>Sumi Sikdar</t>
  </si>
  <si>
    <t>Pinki Barman</t>
  </si>
  <si>
    <t>Nirmalya Banerjee</t>
  </si>
  <si>
    <t>Prasant Kumar Jaiswal</t>
  </si>
  <si>
    <t>Ashim Mondal</t>
  </si>
  <si>
    <t>Kartic Das</t>
  </si>
  <si>
    <t>Sourav Nandan</t>
  </si>
  <si>
    <t>Srichana Sunar</t>
  </si>
  <si>
    <t>Parsuram Darjee</t>
  </si>
  <si>
    <t>Kamal Nandi</t>
  </si>
  <si>
    <t>Munna Singh</t>
  </si>
  <si>
    <t>Amritanshu Shaw</t>
  </si>
  <si>
    <t>Malay Bhowmik</t>
  </si>
  <si>
    <t>Dipak Digga</t>
  </si>
  <si>
    <t>Paramita Dasgupta</t>
  </si>
  <si>
    <t>Ambika Sarkar</t>
  </si>
  <si>
    <t>Abhishek Roy</t>
  </si>
  <si>
    <t>Sumantra Sengupta</t>
  </si>
  <si>
    <t>Ajit Kumar Das</t>
  </si>
  <si>
    <t>Sudhir Deo</t>
  </si>
  <si>
    <t>Shoumit Ganguly</t>
  </si>
  <si>
    <t>Arindam Ghoshal</t>
  </si>
  <si>
    <t>Debjani Das</t>
  </si>
  <si>
    <t>Sanjay Paul</t>
  </si>
  <si>
    <t>Biswajit Roy</t>
  </si>
  <si>
    <t>Debasish Saha</t>
  </si>
  <si>
    <t>Mampi Ghosh</t>
  </si>
  <si>
    <t>Sultan Jaglul Pasha</t>
  </si>
  <si>
    <t>Souvik Gupta</t>
  </si>
  <si>
    <t>Debasmita Roy</t>
  </si>
  <si>
    <t>Arjun Majumdar</t>
  </si>
  <si>
    <t>Raju Karmakar</t>
  </si>
  <si>
    <t>Sonika Das</t>
  </si>
  <si>
    <t>Ramit Kumar Choudhury</t>
  </si>
  <si>
    <t>Nirmal Raha</t>
  </si>
  <si>
    <t>Raju Das</t>
  </si>
  <si>
    <t>Ranjit Mondal</t>
  </si>
  <si>
    <t>Ajeet  Shukla</t>
  </si>
  <si>
    <t>Kalyani Mondal</t>
  </si>
  <si>
    <t>Tanmoy Bangal</t>
  </si>
  <si>
    <t>Ravi Kishore Rana</t>
  </si>
  <si>
    <t>Kalyan Mondal</t>
  </si>
  <si>
    <t>Delip Kumar Das</t>
  </si>
  <si>
    <t>Sk. Forman Ali</t>
  </si>
  <si>
    <t>Q1.</t>
  </si>
  <si>
    <t>Q2</t>
  </si>
  <si>
    <r>
      <t>Find out the greatest of below given Values (</t>
    </r>
    <r>
      <rPr>
        <b/>
        <sz val="11"/>
        <color rgb="FFFF0000"/>
        <rFont val="Calibri"/>
        <family val="2"/>
        <scheme val="minor"/>
      </rPr>
      <t>Using IF Function only</t>
    </r>
    <r>
      <rPr>
        <b/>
        <sz val="11"/>
        <color theme="1"/>
        <rFont val="Calibri"/>
        <family val="2"/>
        <scheme val="minor"/>
      </rPr>
      <t>)</t>
    </r>
  </si>
  <si>
    <t>ID</t>
  </si>
  <si>
    <t>Rohan</t>
  </si>
  <si>
    <t>Time</t>
  </si>
  <si>
    <t>Status</t>
  </si>
  <si>
    <t>Find out the Start Time and End Time from Data Range</t>
  </si>
  <si>
    <t>Start</t>
  </si>
  <si>
    <t>End</t>
  </si>
  <si>
    <t>Min (Ignoring 0)</t>
  </si>
  <si>
    <t>Max</t>
  </si>
  <si>
    <t>D</t>
  </si>
  <si>
    <t>E</t>
  </si>
  <si>
    <t>Find out the Min and Max Value Ignoring Zero of Name</t>
  </si>
  <si>
    <t>Total Amount</t>
  </si>
  <si>
    <t>Sum the total Amount from Data Range of given Name</t>
  </si>
  <si>
    <t>AHT Slab</t>
  </si>
  <si>
    <t>Weightage</t>
  </si>
  <si>
    <t>AHT</t>
  </si>
  <si>
    <t>140-142.9</t>
  </si>
  <si>
    <t>Asif Mondal</t>
  </si>
  <si>
    <t>138-139.9</t>
  </si>
  <si>
    <t>Sandip Ghosh</t>
  </si>
  <si>
    <t>136-137.9</t>
  </si>
  <si>
    <t>Kiran May Das</t>
  </si>
  <si>
    <t>134-135.9</t>
  </si>
  <si>
    <t>Sourasish Paul</t>
  </si>
  <si>
    <t>130-133.9</t>
  </si>
  <si>
    <t>Sabita Gupta</t>
  </si>
  <si>
    <t>Deepak Rajak</t>
  </si>
  <si>
    <t>Sandip Singha</t>
  </si>
  <si>
    <t>Jawed Iqbal</t>
  </si>
  <si>
    <t>Joy Bhattacharjee</t>
  </si>
  <si>
    <t>Abdul Mondal</t>
  </si>
  <si>
    <t>Bijon Sadhukhan</t>
  </si>
  <si>
    <t>Find out the Weightage of Emp Id on the basis of given AHT Slab.</t>
  </si>
  <si>
    <t>s</t>
  </si>
  <si>
    <t>&gt;136 &lt;138</t>
  </si>
  <si>
    <t>&gt;130 &lt;134</t>
  </si>
  <si>
    <t>&gt;134 &lt;136</t>
  </si>
  <si>
    <t>&gt;138 &lt;140</t>
  </si>
  <si>
    <t>&gt;140 &lt;142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</si>
</sst>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\-mmm\-yy;@"/>
    <numFmt numFmtId="165" formatCode="mmm\ \-\ yy"/>
    <numFmt numFmtId="166" formatCode="[$₹-4009]\ #,##0.00"/>
    <numFmt numFmtId="167" formatCode="0.0"/>
    <numFmt numFmtId="168" formatCode="[$-F400]h:mm:ss\ AM/PM"/>
    <numFmt numFmtId="169" formatCode="[$-14009]hh:mm:ss;@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name val="Helv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rgb="FF00206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indexed="8"/>
      <name val="Calibri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2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sz val="11"/>
      <color indexed="8"/>
      <name val="Calibri"/>
      <family val="2"/>
    </font>
    <font>
      <sz val="10"/>
      <color rgb="FFC0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9"/>
      <name val="Trebuchet MS"/>
      <family val="2"/>
    </font>
    <font>
      <b/>
      <sz val="10"/>
      <color rgb="FFC00000"/>
      <name val="Trebuchet MS"/>
      <family val="2"/>
    </font>
    <font>
      <b/>
      <sz val="10"/>
      <color indexed="9"/>
      <name val="Trebuchet MS"/>
      <family val="2"/>
    </font>
    <font>
      <b/>
      <sz val="10"/>
      <color indexed="18"/>
      <name val="Arial"/>
      <family val="2"/>
    </font>
    <font>
      <b/>
      <sz val="10"/>
      <color indexed="18"/>
      <name val="Trebuchet MS"/>
      <family val="2"/>
    </font>
    <font>
      <b/>
      <sz val="18"/>
      <color indexed="18"/>
      <name val="Arial"/>
      <family val="2"/>
    </font>
    <font>
      <b/>
      <sz val="10"/>
      <name val="Calibri"/>
      <family val="2"/>
    </font>
    <font>
      <sz val="10"/>
      <color indexed="8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name val="Palatino Linotype"/>
      <family val="1"/>
    </font>
    <font>
      <b/>
      <sz val="10"/>
      <color theme="1"/>
      <name val="Calibri"/>
      <family val="2"/>
      <scheme val="minor"/>
    </font>
    <font>
      <b/>
      <sz val="12"/>
      <name val="Palatino Linotype"/>
      <family val="1"/>
    </font>
    <font>
      <sz val="12"/>
      <name val="Palatino Linotype"/>
      <family val="1"/>
    </font>
    <font>
      <b/>
      <sz val="10"/>
      <name val="Palatino Linotype"/>
      <family val="1"/>
    </font>
    <font>
      <b/>
      <sz val="10"/>
      <color theme="0"/>
      <name val="Palatino Linotype"/>
      <family val="1"/>
    </font>
  </fonts>
  <fills count="4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rgb="FFFFFF8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CF0F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CB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85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hair">
        <color theme="9" tint="-0.24994659260841701"/>
      </left>
      <right style="hair">
        <color theme="9" tint="-0.24994659260841701"/>
      </right>
      <top style="hair">
        <color theme="9" tint="-0.24994659260841701"/>
      </top>
      <bottom style="hair">
        <color theme="9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5" fillId="0" borderId="0"/>
    <xf numFmtId="0" fontId="7" fillId="5" borderId="0" applyNumberFormat="0" applyFont="0" applyBorder="0" applyAlignment="0" applyProtection="0"/>
    <xf numFmtId="0" fontId="7" fillId="6" borderId="0" applyNumberFormat="0" applyFont="0" applyBorder="0" applyAlignment="0" applyProtection="0"/>
    <xf numFmtId="0" fontId="11" fillId="0" borderId="0"/>
    <xf numFmtId="9" fontId="15" fillId="0" borderId="0" applyFont="0" applyFill="0" applyBorder="0" applyAlignment="0" applyProtection="0"/>
    <xf numFmtId="0" fontId="11" fillId="0" borderId="0"/>
    <xf numFmtId="0" fontId="7" fillId="0" borderId="0"/>
  </cellStyleXfs>
  <cellXfs count="245">
    <xf numFmtId="0" fontId="0" fillId="0" borderId="0" xfId="0"/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Protection="1"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3" fillId="0" borderId="2" xfId="0" applyFont="1" applyBorder="1" applyProtection="1"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2" fillId="3" borderId="2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left"/>
    </xf>
    <xf numFmtId="16" fontId="6" fillId="0" borderId="2" xfId="1" applyNumberFormat="1" applyFont="1" applyBorder="1" applyAlignment="1">
      <alignment horizontal="center"/>
    </xf>
    <xf numFmtId="0" fontId="6" fillId="0" borderId="2" xfId="1" applyFont="1" applyBorder="1" applyAlignment="1">
      <alignment horizontal="left"/>
    </xf>
    <xf numFmtId="2" fontId="6" fillId="0" borderId="4" xfId="1" applyNumberFormat="1" applyFont="1" applyBorder="1" applyAlignment="1">
      <alignment horizontal="center"/>
    </xf>
    <xf numFmtId="0" fontId="6" fillId="3" borderId="5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16" fontId="2" fillId="3" borderId="8" xfId="1" applyNumberFormat="1" applyFont="1" applyFill="1" applyBorder="1" applyAlignment="1">
      <alignment horizontal="center" vertical="center"/>
    </xf>
    <xf numFmtId="2" fontId="6" fillId="4" borderId="2" xfId="1" applyNumberFormat="1" applyFont="1" applyFill="1" applyBorder="1" applyAlignment="1">
      <alignment horizontal="center" vertical="center"/>
    </xf>
    <xf numFmtId="16" fontId="2" fillId="3" borderId="9" xfId="1" applyNumberFormat="1" applyFont="1" applyFill="1" applyBorder="1" applyAlignment="1">
      <alignment horizontal="center" vertical="center"/>
    </xf>
    <xf numFmtId="2" fontId="6" fillId="0" borderId="2" xfId="1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7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center" vertical="center"/>
    </xf>
    <xf numFmtId="0" fontId="3" fillId="0" borderId="2" xfId="0" applyFont="1" applyBorder="1" applyAlignment="1" applyProtection="1">
      <alignment vertical="center"/>
      <protection locked="0"/>
    </xf>
    <xf numFmtId="0" fontId="0" fillId="13" borderId="2" xfId="0" applyFill="1" applyBorder="1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0" fillId="14" borderId="2" xfId="0" applyFill="1" applyBorder="1" applyAlignment="1">
      <alignment horizontal="center" vertical="center"/>
    </xf>
    <xf numFmtId="0" fontId="6" fillId="0" borderId="0" xfId="4" applyFont="1" applyAlignment="1">
      <alignment vertical="center"/>
    </xf>
    <xf numFmtId="0" fontId="6" fillId="0" borderId="0" xfId="4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11" xfId="3" applyNumberFormat="1" applyFont="1" applyFill="1" applyBorder="1" applyAlignment="1">
      <alignment horizontal="center" vertical="center"/>
    </xf>
    <xf numFmtId="0" fontId="7" fillId="0" borderId="12" xfId="3" applyNumberFormat="1" applyFont="1" applyFill="1" applyBorder="1" applyAlignment="1">
      <alignment horizontal="center" vertical="center"/>
    </xf>
    <xf numFmtId="0" fontId="7" fillId="5" borderId="13" xfId="2" applyNumberFormat="1" applyFont="1" applyBorder="1" applyAlignment="1">
      <alignment horizontal="left" vertical="center"/>
    </xf>
    <xf numFmtId="0" fontId="7" fillId="0" borderId="14" xfId="3" applyNumberFormat="1" applyFont="1" applyFill="1" applyBorder="1" applyAlignment="1">
      <alignment horizontal="center" vertical="center"/>
    </xf>
    <xf numFmtId="0" fontId="7" fillId="0" borderId="2" xfId="3" applyNumberFormat="1" applyFont="1" applyFill="1" applyBorder="1" applyAlignment="1">
      <alignment horizontal="center" vertical="center"/>
    </xf>
    <xf numFmtId="0" fontId="7" fillId="5" borderId="15" xfId="2" applyNumberFormat="1" applyFont="1" applyBorder="1" applyAlignment="1">
      <alignment horizontal="left" vertical="center"/>
    </xf>
    <xf numFmtId="0" fontId="7" fillId="5" borderId="14" xfId="2" applyNumberFormat="1" applyFont="1" applyBorder="1" applyAlignment="1">
      <alignment horizontal="center" vertical="center"/>
    </xf>
    <xf numFmtId="0" fontId="7" fillId="5" borderId="2" xfId="2" applyNumberFormat="1" applyFont="1" applyBorder="1" applyAlignment="1">
      <alignment horizontal="center" vertical="center"/>
    </xf>
    <xf numFmtId="0" fontId="7" fillId="5" borderId="15" xfId="2" applyNumberFormat="1" applyFont="1" applyBorder="1" applyAlignment="1">
      <alignment horizontal="center" vertical="center"/>
    </xf>
    <xf numFmtId="2" fontId="6" fillId="0" borderId="16" xfId="4" applyNumberFormat="1" applyFont="1" applyBorder="1" applyAlignment="1">
      <alignment vertical="center"/>
    </xf>
    <xf numFmtId="2" fontId="6" fillId="0" borderId="0" xfId="4" applyNumberFormat="1" applyFont="1" applyAlignment="1">
      <alignment vertical="center"/>
    </xf>
    <xf numFmtId="0" fontId="6" fillId="0" borderId="8" xfId="4" applyFont="1" applyBorder="1" applyAlignment="1">
      <alignment vertical="center"/>
    </xf>
    <xf numFmtId="10" fontId="6" fillId="13" borderId="14" xfId="5" applyNumberFormat="1" applyFont="1" applyFill="1" applyBorder="1" applyAlignment="1">
      <alignment horizontal="center" vertical="center"/>
    </xf>
    <xf numFmtId="0" fontId="17" fillId="0" borderId="8" xfId="4" applyFont="1" applyBorder="1" applyAlignment="1">
      <alignment vertical="center"/>
    </xf>
    <xf numFmtId="0" fontId="6" fillId="0" borderId="2" xfId="4" applyFont="1" applyBorder="1" applyAlignment="1">
      <alignment horizontal="center" vertical="center"/>
    </xf>
    <xf numFmtId="2" fontId="6" fillId="0" borderId="15" xfId="4" applyNumberFormat="1" applyFont="1" applyBorder="1" applyAlignment="1">
      <alignment horizontal="center" vertical="center"/>
    </xf>
    <xf numFmtId="0" fontId="6" fillId="3" borderId="14" xfId="4" applyFont="1" applyFill="1" applyBorder="1" applyAlignment="1">
      <alignment horizontal="center" vertical="center"/>
    </xf>
    <xf numFmtId="0" fontId="6" fillId="15" borderId="2" xfId="4" applyFont="1" applyFill="1" applyBorder="1" applyAlignment="1">
      <alignment horizontal="center" vertical="center"/>
    </xf>
    <xf numFmtId="0" fontId="6" fillId="15" borderId="15" xfId="4" applyFont="1" applyFill="1" applyBorder="1" applyAlignment="1">
      <alignment horizontal="center" vertical="center"/>
    </xf>
    <xf numFmtId="0" fontId="2" fillId="0" borderId="7" xfId="4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/>
    </xf>
    <xf numFmtId="0" fontId="6" fillId="0" borderId="6" xfId="4" applyFont="1" applyBorder="1" applyAlignment="1">
      <alignment vertical="center"/>
    </xf>
    <xf numFmtId="0" fontId="17" fillId="0" borderId="5" xfId="4" applyFont="1" applyBorder="1" applyAlignment="1">
      <alignment vertical="center"/>
    </xf>
    <xf numFmtId="0" fontId="2" fillId="0" borderId="16" xfId="4" applyFont="1" applyBorder="1" applyAlignment="1">
      <alignment horizontal="center" vertical="center"/>
    </xf>
    <xf numFmtId="1" fontId="6" fillId="0" borderId="19" xfId="4" applyNumberFormat="1" applyFont="1" applyBorder="1" applyAlignment="1">
      <alignment horizontal="center" vertical="center"/>
    </xf>
    <xf numFmtId="1" fontId="6" fillId="0" borderId="20" xfId="4" applyNumberFormat="1" applyFont="1" applyBorder="1" applyAlignment="1">
      <alignment horizontal="center" vertical="center"/>
    </xf>
    <xf numFmtId="0" fontId="6" fillId="13" borderId="14" xfId="4" applyFont="1" applyFill="1" applyBorder="1" applyAlignment="1">
      <alignment vertical="center"/>
    </xf>
    <xf numFmtId="1" fontId="6" fillId="0" borderId="21" xfId="4" applyNumberFormat="1" applyFont="1" applyBorder="1" applyAlignment="1">
      <alignment horizontal="center" vertical="center"/>
    </xf>
    <xf numFmtId="0" fontId="6" fillId="0" borderId="14" xfId="4" applyFont="1" applyBorder="1" applyAlignment="1">
      <alignment vertical="center"/>
    </xf>
    <xf numFmtId="0" fontId="18" fillId="15" borderId="2" xfId="4" applyFont="1" applyFill="1" applyBorder="1" applyAlignment="1">
      <alignment horizontal="center" vertical="center"/>
    </xf>
    <xf numFmtId="2" fontId="6" fillId="0" borderId="19" xfId="4" applyNumberFormat="1" applyFont="1" applyBorder="1" applyAlignment="1">
      <alignment horizontal="center" vertical="center"/>
    </xf>
    <xf numFmtId="2" fontId="6" fillId="0" borderId="20" xfId="4" applyNumberFormat="1" applyFont="1" applyBorder="1" applyAlignment="1">
      <alignment horizontal="center" vertical="center"/>
    </xf>
    <xf numFmtId="0" fontId="6" fillId="13" borderId="2" xfId="4" applyFont="1" applyFill="1" applyBorder="1" applyAlignment="1">
      <alignment horizontal="center" vertical="center"/>
    </xf>
    <xf numFmtId="2" fontId="6" fillId="0" borderId="21" xfId="4" applyNumberFormat="1" applyFont="1" applyBorder="1" applyAlignment="1">
      <alignment horizontal="center" vertical="center"/>
    </xf>
    <xf numFmtId="0" fontId="2" fillId="15" borderId="2" xfId="4" applyFont="1" applyFill="1" applyBorder="1" applyAlignment="1">
      <alignment horizontal="center" vertical="center"/>
    </xf>
    <xf numFmtId="0" fontId="6" fillId="0" borderId="19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19" fontId="6" fillId="0" borderId="0" xfId="4" applyNumberFormat="1" applyFont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0" fontId="4" fillId="0" borderId="0" xfId="4" applyFont="1" applyAlignment="1">
      <alignment vertical="center"/>
    </xf>
    <xf numFmtId="0" fontId="0" fillId="0" borderId="0" xfId="0" applyAlignment="1">
      <alignment horizontal="left"/>
    </xf>
    <xf numFmtId="0" fontId="6" fillId="14" borderId="2" xfId="4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0" fillId="19" borderId="2" xfId="6" applyFont="1" applyFill="1" applyBorder="1" applyAlignment="1">
      <alignment horizontal="center" vertical="center"/>
    </xf>
    <xf numFmtId="0" fontId="0" fillId="20" borderId="2" xfId="6" applyFont="1" applyFill="1" applyBorder="1" applyAlignment="1">
      <alignment horizontal="center" vertical="center"/>
    </xf>
    <xf numFmtId="0" fontId="19" fillId="9" borderId="2" xfId="6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17" borderId="2" xfId="6" applyFont="1" applyFill="1" applyBorder="1" applyAlignment="1">
      <alignment horizontal="center" vertical="center"/>
    </xf>
    <xf numFmtId="0" fontId="11" fillId="22" borderId="24" xfId="6" applyFill="1" applyBorder="1" applyAlignment="1">
      <alignment horizontal="center"/>
    </xf>
    <xf numFmtId="164" fontId="0" fillId="22" borderId="2" xfId="6" applyNumberFormat="1" applyFont="1" applyFill="1" applyBorder="1" applyAlignment="1">
      <alignment horizontal="center"/>
    </xf>
    <xf numFmtId="0" fontId="0" fillId="22" borderId="2" xfId="6" applyFont="1" applyFill="1" applyBorder="1" applyAlignment="1">
      <alignment horizontal="center"/>
    </xf>
    <xf numFmtId="1" fontId="0" fillId="22" borderId="2" xfId="6" applyNumberFormat="1" applyFont="1" applyFill="1" applyBorder="1" applyAlignment="1">
      <alignment horizontal="center"/>
    </xf>
    <xf numFmtId="165" fontId="23" fillId="10" borderId="15" xfId="6" applyNumberFormat="1" applyFont="1" applyFill="1" applyBorder="1" applyAlignment="1">
      <alignment horizontal="center"/>
    </xf>
    <xf numFmtId="4" fontId="0" fillId="0" borderId="0" xfId="6" applyNumberFormat="1" applyFont="1"/>
    <xf numFmtId="0" fontId="0" fillId="22" borderId="22" xfId="6" applyFont="1" applyFill="1" applyBorder="1" applyAlignment="1">
      <alignment horizontal="center"/>
    </xf>
    <xf numFmtId="0" fontId="11" fillId="22" borderId="2" xfId="6" applyFill="1" applyBorder="1" applyAlignment="1">
      <alignment horizontal="center"/>
    </xf>
    <xf numFmtId="164" fontId="11" fillId="22" borderId="2" xfId="6" applyNumberFormat="1" applyFill="1" applyBorder="1" applyAlignment="1">
      <alignment horizontal="center"/>
    </xf>
    <xf numFmtId="1" fontId="11" fillId="22" borderId="2" xfId="6" applyNumberFormat="1" applyFill="1" applyBorder="1" applyAlignment="1">
      <alignment horizontal="center"/>
    </xf>
    <xf numFmtId="0" fontId="22" fillId="7" borderId="2" xfId="6" applyFont="1" applyFill="1" applyBorder="1" applyAlignment="1">
      <alignment horizontal="center" vertical="center"/>
    </xf>
    <xf numFmtId="166" fontId="11" fillId="22" borderId="2" xfId="6" applyNumberFormat="1" applyFill="1" applyBorder="1" applyAlignment="1">
      <alignment horizontal="center"/>
    </xf>
    <xf numFmtId="166" fontId="0" fillId="22" borderId="2" xfId="6" applyNumberFormat="1" applyFont="1" applyFill="1" applyBorder="1" applyAlignment="1">
      <alignment horizontal="center"/>
    </xf>
    <xf numFmtId="166" fontId="12" fillId="3" borderId="2" xfId="6" applyNumberFormat="1" applyFont="1" applyFill="1" applyBorder="1" applyAlignment="1">
      <alignment horizontal="center"/>
    </xf>
    <xf numFmtId="0" fontId="22" fillId="7" borderId="12" xfId="6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/>
    </xf>
    <xf numFmtId="0" fontId="25" fillId="7" borderId="2" xfId="7" applyFont="1" applyFill="1" applyBorder="1" applyAlignment="1">
      <alignment horizontal="center"/>
    </xf>
    <xf numFmtId="0" fontId="0" fillId="23" borderId="1" xfId="0" applyFill="1" applyBorder="1" applyAlignment="1" applyProtection="1">
      <alignment horizontal="left"/>
      <protection locked="0"/>
    </xf>
    <xf numFmtId="2" fontId="6" fillId="0" borderId="6" xfId="4" applyNumberFormat="1" applyFont="1" applyBorder="1" applyAlignment="1">
      <alignment vertical="center"/>
    </xf>
    <xf numFmtId="2" fontId="6" fillId="0" borderId="7" xfId="4" applyNumberFormat="1" applyFont="1" applyBorder="1" applyAlignment="1">
      <alignment vertical="center"/>
    </xf>
    <xf numFmtId="2" fontId="2" fillId="3" borderId="14" xfId="4" applyNumberFormat="1" applyFont="1" applyFill="1" applyBorder="1" applyAlignment="1">
      <alignment horizontal="center" vertical="center"/>
    </xf>
    <xf numFmtId="0" fontId="6" fillId="0" borderId="9" xfId="4" applyFont="1" applyBorder="1" applyAlignment="1">
      <alignment vertical="center"/>
    </xf>
    <xf numFmtId="0" fontId="6" fillId="0" borderId="26" xfId="4" applyFont="1" applyBorder="1" applyAlignment="1">
      <alignment vertical="center"/>
    </xf>
    <xf numFmtId="0" fontId="6" fillId="0" borderId="26" xfId="4" applyFont="1" applyBorder="1" applyAlignment="1">
      <alignment horizontal="center" vertical="center"/>
    </xf>
    <xf numFmtId="0" fontId="2" fillId="0" borderId="27" xfId="4" applyFont="1" applyBorder="1" applyAlignment="1">
      <alignment horizontal="center" vertical="center"/>
    </xf>
    <xf numFmtId="0" fontId="1" fillId="24" borderId="2" xfId="0" applyFont="1" applyFill="1" applyBorder="1" applyAlignment="1">
      <alignment horizontal="center"/>
    </xf>
    <xf numFmtId="0" fontId="27" fillId="25" borderId="2" xfId="0" applyFont="1" applyFill="1" applyBorder="1" applyAlignment="1">
      <alignment horizontal="center" vertical="center"/>
    </xf>
    <xf numFmtId="0" fontId="2" fillId="26" borderId="24" xfId="0" applyFont="1" applyFill="1" applyBorder="1" applyAlignment="1">
      <alignment horizontal="center" vertical="center"/>
    </xf>
    <xf numFmtId="0" fontId="2" fillId="26" borderId="31" xfId="0" applyFont="1" applyFill="1" applyBorder="1" applyAlignment="1">
      <alignment horizontal="center" vertical="center"/>
    </xf>
    <xf numFmtId="0" fontId="29" fillId="0" borderId="0" xfId="0" applyFont="1"/>
    <xf numFmtId="0" fontId="29" fillId="0" borderId="2" xfId="0" applyFon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0" fillId="27" borderId="2" xfId="0" applyFill="1" applyBorder="1"/>
    <xf numFmtId="0" fontId="4" fillId="0" borderId="0" xfId="0" applyFont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0" fillId="0" borderId="2" xfId="0" applyBorder="1"/>
    <xf numFmtId="0" fontId="27" fillId="28" borderId="24" xfId="0" applyFont="1" applyFill="1" applyBorder="1" applyAlignment="1">
      <alignment horizontal="center" vertical="center"/>
    </xf>
    <xf numFmtId="0" fontId="1" fillId="29" borderId="32" xfId="0" applyFont="1" applyFill="1" applyBorder="1" applyAlignment="1">
      <alignment horizontal="center" vertical="center"/>
    </xf>
    <xf numFmtId="0" fontId="1" fillId="29" borderId="33" xfId="0" applyFont="1" applyFill="1" applyBorder="1" applyAlignment="1">
      <alignment horizontal="center" vertical="center"/>
    </xf>
    <xf numFmtId="0" fontId="0" fillId="27" borderId="2" xfId="0" applyFill="1" applyBorder="1" applyAlignment="1">
      <alignment horizontal="center" vertical="center"/>
    </xf>
    <xf numFmtId="0" fontId="0" fillId="30" borderId="15" xfId="0" applyFill="1" applyBorder="1" applyAlignment="1">
      <alignment horizontal="center" vertical="center"/>
    </xf>
    <xf numFmtId="0" fontId="1" fillId="26" borderId="14" xfId="0" applyFont="1" applyFill="1" applyBorder="1" applyAlignment="1">
      <alignment horizontal="center" vertical="center"/>
    </xf>
    <xf numFmtId="0" fontId="0" fillId="30" borderId="13" xfId="0" applyFill="1" applyBorder="1" applyAlignment="1">
      <alignment horizontal="center" vertical="center"/>
    </xf>
    <xf numFmtId="0" fontId="1" fillId="26" borderId="11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8" fillId="31" borderId="2" xfId="0" applyFont="1" applyFill="1" applyBorder="1"/>
    <xf numFmtId="0" fontId="31" fillId="0" borderId="0" xfId="4" applyFont="1"/>
    <xf numFmtId="1" fontId="28" fillId="32" borderId="32" xfId="0" applyNumberFormat="1" applyFont="1" applyFill="1" applyBorder="1"/>
    <xf numFmtId="0" fontId="32" fillId="0" borderId="0" xfId="0" applyFont="1" applyAlignment="1">
      <alignment horizontal="center"/>
    </xf>
    <xf numFmtId="0" fontId="32" fillId="31" borderId="2" xfId="0" applyFont="1" applyFill="1" applyBorder="1" applyAlignment="1">
      <alignment horizontal="center" vertical="center"/>
    </xf>
    <xf numFmtId="16" fontId="32" fillId="31" borderId="2" xfId="0" applyNumberFormat="1" applyFont="1" applyFill="1" applyBorder="1"/>
    <xf numFmtId="0" fontId="29" fillId="34" borderId="2" xfId="0" applyFont="1" applyFill="1" applyBorder="1"/>
    <xf numFmtId="0" fontId="32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/>
    </xf>
    <xf numFmtId="0" fontId="31" fillId="0" borderId="0" xfId="4" quotePrefix="1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7" fillId="35" borderId="2" xfId="0" applyFont="1" applyFill="1" applyBorder="1" applyAlignment="1">
      <alignment horizontal="center" vertical="center"/>
    </xf>
    <xf numFmtId="0" fontId="1" fillId="0" borderId="0" xfId="0" applyFont="1"/>
    <xf numFmtId="0" fontId="0" fillId="15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20" fontId="0" fillId="0" borderId="0" xfId="0" applyNumberFormat="1"/>
    <xf numFmtId="0" fontId="0" fillId="36" borderId="2" xfId="0" applyFill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27" fillId="37" borderId="2" xfId="0" applyFont="1" applyFill="1" applyBorder="1" applyAlignment="1">
      <alignment horizontal="center" vertical="center"/>
    </xf>
    <xf numFmtId="0" fontId="1" fillId="38" borderId="2" xfId="0" applyFont="1" applyFill="1" applyBorder="1"/>
    <xf numFmtId="0" fontId="1" fillId="38" borderId="2" xfId="0" applyFont="1" applyFill="1" applyBorder="1" applyAlignment="1">
      <alignment horizontal="left"/>
    </xf>
    <xf numFmtId="0" fontId="1" fillId="38" borderId="2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38" borderId="2" xfId="0" applyFill="1" applyBorder="1"/>
    <xf numFmtId="0" fontId="0" fillId="38" borderId="2" xfId="0" applyFill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0" fontId="33" fillId="0" borderId="0" xfId="4" applyFont="1" applyAlignment="1">
      <alignment horizontal="center"/>
    </xf>
    <xf numFmtId="0" fontId="34" fillId="0" borderId="0" xfId="4" applyFont="1"/>
    <xf numFmtId="0" fontId="31" fillId="0" borderId="0" xfId="4" applyFont="1" applyAlignment="1">
      <alignment horizontal="center"/>
    </xf>
    <xf numFmtId="10" fontId="31" fillId="0" borderId="0" xfId="4" applyNumberFormat="1" applyFont="1" applyAlignment="1">
      <alignment horizontal="center"/>
    </xf>
    <xf numFmtId="0" fontId="31" fillId="0" borderId="15" xfId="4" applyFont="1" applyBorder="1" applyAlignment="1">
      <alignment horizontal="center" vertical="center"/>
    </xf>
    <xf numFmtId="0" fontId="31" fillId="0" borderId="14" xfId="5" applyNumberFormat="1" applyFont="1" applyFill="1" applyBorder="1" applyAlignment="1">
      <alignment horizontal="center" vertical="center"/>
    </xf>
    <xf numFmtId="0" fontId="31" fillId="0" borderId="13" xfId="4" applyFont="1" applyBorder="1" applyAlignment="1">
      <alignment horizontal="center" vertical="center"/>
    </xf>
    <xf numFmtId="0" fontId="31" fillId="0" borderId="11" xfId="5" applyNumberFormat="1" applyFont="1" applyFill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31" fillId="0" borderId="0" xfId="4" applyFont="1" applyAlignment="1">
      <alignment horizontal="center" vertical="center"/>
    </xf>
    <xf numFmtId="167" fontId="31" fillId="0" borderId="2" xfId="4" applyNumberFormat="1" applyFont="1" applyBorder="1" applyAlignment="1">
      <alignment horizontal="center" vertical="center"/>
    </xf>
    <xf numFmtId="0" fontId="33" fillId="0" borderId="0" xfId="4" applyFont="1" applyAlignment="1">
      <alignment horizontal="center" vertical="center"/>
    </xf>
    <xf numFmtId="0" fontId="35" fillId="12" borderId="2" xfId="4" applyFont="1" applyFill="1" applyBorder="1" applyAlignment="1">
      <alignment horizontal="center" vertical="center"/>
    </xf>
    <xf numFmtId="167" fontId="35" fillId="12" borderId="2" xfId="4" applyNumberFormat="1" applyFont="1" applyFill="1" applyBorder="1" applyAlignment="1">
      <alignment horizontal="center" vertical="center"/>
    </xf>
    <xf numFmtId="0" fontId="36" fillId="35" borderId="35" xfId="4" applyFont="1" applyFill="1" applyBorder="1" applyAlignment="1">
      <alignment horizontal="center" vertical="center"/>
    </xf>
    <xf numFmtId="0" fontId="36" fillId="35" borderId="36" xfId="4" applyFont="1" applyFill="1" applyBorder="1" applyAlignment="1">
      <alignment horizontal="center" vertical="center"/>
    </xf>
    <xf numFmtId="0" fontId="6" fillId="0" borderId="2" xfId="5" applyNumberFormat="1" applyFont="1" applyFill="1" applyBorder="1" applyAlignment="1">
      <alignment horizontal="center" vertical="center"/>
    </xf>
    <xf numFmtId="0" fontId="6" fillId="13" borderId="14" xfId="5" applyNumberFormat="1" applyFont="1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9" fontId="28" fillId="31" borderId="2" xfId="0" applyNumberFormat="1" applyFont="1" applyFill="1" applyBorder="1"/>
    <xf numFmtId="49" fontId="28" fillId="31" borderId="2" xfId="0" applyNumberFormat="1" applyFont="1" applyFill="1" applyBorder="1" applyAlignment="1">
      <alignment horizontal="center" vertical="center"/>
    </xf>
    <xf numFmtId="49" fontId="29" fillId="0" borderId="2" xfId="0" applyNumberFormat="1" applyFont="1" applyBorder="1"/>
    <xf numFmtId="49" fontId="29" fillId="0" borderId="2" xfId="0" applyNumberFormat="1" applyFont="1" applyBorder="1" applyAlignment="1">
      <alignment horizontal="center" vertical="center"/>
    </xf>
    <xf numFmtId="49" fontId="0" fillId="0" borderId="0" xfId="0" applyNumberFormat="1"/>
    <xf numFmtId="49" fontId="28" fillId="32" borderId="34" xfId="0" applyNumberFormat="1" applyFont="1" applyFill="1" applyBorder="1"/>
    <xf numFmtId="49" fontId="28" fillId="32" borderId="33" xfId="0" applyNumberFormat="1" applyFont="1" applyFill="1" applyBorder="1"/>
    <xf numFmtId="49" fontId="31" fillId="0" borderId="0" xfId="4" applyNumberFormat="1" applyFont="1"/>
    <xf numFmtId="49" fontId="31" fillId="0" borderId="0" xfId="4" applyNumberFormat="1" applyFont="1" applyAlignment="1">
      <alignment horizontal="left"/>
    </xf>
    <xf numFmtId="49" fontId="29" fillId="0" borderId="0" xfId="0" applyNumberFormat="1" applyFont="1"/>
    <xf numFmtId="0" fontId="31" fillId="33" borderId="2" xfId="4" applyFont="1" applyFill="1" applyBorder="1" applyAlignment="1">
      <alignment horizontal="center"/>
    </xf>
    <xf numFmtId="0" fontId="2" fillId="26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168" fontId="0" fillId="0" borderId="2" xfId="0" applyNumberFormat="1" applyBorder="1" applyAlignment="1">
      <alignment horizontal="center" vertical="center"/>
    </xf>
    <xf numFmtId="0" fontId="12" fillId="17" borderId="2" xfId="6" applyFont="1" applyFill="1" applyBorder="1"/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9" fontId="0" fillId="27" borderId="2" xfId="0" applyNumberFormat="1" applyFill="1" applyBorder="1" applyAlignment="1">
      <alignment horizontal="center" vertical="center"/>
    </xf>
    <xf numFmtId="0" fontId="28" fillId="31" borderId="2" xfId="0" applyFont="1" applyFill="1" applyBorder="1" applyAlignment="1">
      <alignment horizontal="center" vertical="center"/>
    </xf>
    <xf numFmtId="15" fontId="29" fillId="0" borderId="2" xfId="0" applyNumberFormat="1" applyFont="1" applyBorder="1"/>
    <xf numFmtId="169" fontId="0" fillId="0" borderId="0" xfId="0" applyNumberFormat="1" applyAlignment="1">
      <alignment horizontal="center" vertical="center"/>
    </xf>
    <xf numFmtId="21" fontId="0" fillId="0" borderId="0" xfId="0" applyNumberFormat="1"/>
    <xf numFmtId="15" fontId="0" fillId="27" borderId="2" xfId="0" applyNumberFormat="1" applyFill="1" applyBorder="1"/>
    <xf numFmtId="0" fontId="31" fillId="0" borderId="2" xfId="4" applyFont="1" applyBorder="1"/>
    <xf numFmtId="0" fontId="16" fillId="5" borderId="18" xfId="2" applyNumberFormat="1" applyFont="1" applyBorder="1" applyAlignment="1">
      <alignment horizontal="left" vertical="center"/>
    </xf>
    <xf numFmtId="0" fontId="16" fillId="5" borderId="17" xfId="2" applyNumberFormat="1" applyFont="1" applyBorder="1" applyAlignment="1">
      <alignment horizontal="left" vertical="center"/>
    </xf>
    <xf numFmtId="0" fontId="16" fillId="5" borderId="10" xfId="2" applyNumberFormat="1" applyFont="1" applyBorder="1" applyAlignment="1">
      <alignment horizontal="left" vertical="center"/>
    </xf>
    <xf numFmtId="0" fontId="20" fillId="0" borderId="3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23" xfId="6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4" fillId="17" borderId="2" xfId="6" applyFont="1" applyFill="1" applyBorder="1" applyAlignment="1">
      <alignment horizontal="center" vertical="center"/>
    </xf>
    <xf numFmtId="0" fontId="12" fillId="17" borderId="2" xfId="6" applyFont="1" applyFill="1" applyBorder="1" applyAlignment="1">
      <alignment horizontal="center"/>
    </xf>
    <xf numFmtId="0" fontId="21" fillId="21" borderId="0" xfId="6" applyFont="1" applyFill="1" applyAlignment="1">
      <alignment horizontal="center" vertical="center" wrapText="1"/>
    </xf>
    <xf numFmtId="0" fontId="21" fillId="21" borderId="25" xfId="6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1" fillId="24" borderId="3" xfId="0" applyFont="1" applyFill="1" applyBorder="1" applyAlignment="1">
      <alignment horizontal="left"/>
    </xf>
    <xf numFmtId="0" fontId="1" fillId="24" borderId="0" xfId="0" applyFont="1" applyFill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30" fillId="0" borderId="0" xfId="0" applyFont="1" applyAlignment="1">
      <alignment horizontal="left" vertical="center"/>
    </xf>
    <xf numFmtId="0" fontId="30" fillId="0" borderId="25" xfId="0" applyFont="1" applyBorder="1" applyAlignment="1">
      <alignment horizontal="left" vertical="center"/>
    </xf>
    <xf numFmtId="0" fontId="1" fillId="14" borderId="0" xfId="0" applyFont="1" applyFill="1" applyAlignment="1">
      <alignment horizontal="left"/>
    </xf>
    <xf numFmtId="0" fontId="35" fillId="14" borderId="6" xfId="4" applyFont="1" applyFill="1" applyBorder="1" applyAlignment="1">
      <alignment horizontal="left" vertical="center"/>
    </xf>
    <xf numFmtId="0" fontId="1" fillId="39" borderId="2" xfId="0" applyFont="1" applyFill="1" applyBorder="1" applyAlignment="1">
      <alignment horizontal="center"/>
    </xf>
  </cellXfs>
  <cellStyles count="8">
    <cellStyle name="Comma 2" xfId="7" xr:uid="{00000000-0005-0000-0000-000000000000}"/>
    <cellStyle name="GreyOrWhite" xfId="2" xr:uid="{00000000-0005-0000-0000-000001000000}"/>
    <cellStyle name="Norm੎੎" xfId="6" xr:uid="{00000000-0005-0000-0000-000002000000}"/>
    <cellStyle name="Normal" xfId="0" builtinId="0"/>
    <cellStyle name="Normal_Excel Test  Ver 2" xfId="4" xr:uid="{00000000-0005-0000-0000-000004000000}"/>
    <cellStyle name="Normal_TAB1" xfId="1" xr:uid="{00000000-0005-0000-0000-000005000000}"/>
    <cellStyle name="Percent 2" xfId="5" xr:uid="{00000000-0005-0000-0000-000006000000}"/>
    <cellStyle name="Yellow" xfId="3" xr:uid="{00000000-0005-0000-0000-000007000000}"/>
  </cellStyles>
  <dxfs count="0"/>
  <tableStyles count="0" defaultTableStyle="TableStyleMedium2" defaultPivotStyle="PivotStyleLight16"/>
  <colors>
    <mruColors>
      <color rgb="FFFFFF81"/>
      <color rgb="FFECF0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</xdr:row>
      <xdr:rowOff>0</xdr:rowOff>
    </xdr:from>
    <xdr:ext cx="9525" cy="9525"/>
    <xdr:pic>
      <xdr:nvPicPr>
        <xdr:cNvPr id="2" name="Picture 2" descr="https://mail.google.com/mail/u/0/images/cleardot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525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6" name="Picture 2" descr="https://mail.google.com/mail/u/0/images/cleardot.gif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2350" y="14573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6</xdr:row>
      <xdr:rowOff>0</xdr:rowOff>
    </xdr:from>
    <xdr:ext cx="9525" cy="9525"/>
    <xdr:pic>
      <xdr:nvPicPr>
        <xdr:cNvPr id="7" name="Picture 6" descr="https://mail.google.com/mail/u/0/images/cleardot.gif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2350" y="8858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9525" cy="9525"/>
    <xdr:pic>
      <xdr:nvPicPr>
        <xdr:cNvPr id="8" name="Picture 2" descr="https://mail.google.com/mail/u/0/images/cleardot.gif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2350" y="12668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9" name="Picture 8" descr="https://mail.google.com/mail/u/0/images/cleardot.gif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2350" y="6953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3"/>
  <sheetViews>
    <sheetView showGridLines="0" tabSelected="1" workbookViewId="0"/>
  </sheetViews>
  <sheetFormatPr defaultRowHeight="14.5" x14ac:dyDescent="0.35"/>
  <cols>
    <col min="1" max="1" width="30.1796875" style="90" bestFit="1" customWidth="1"/>
    <col min="2" max="2" width="6.26953125" customWidth="1"/>
    <col min="3" max="3" width="52.453125" bestFit="1" customWidth="1"/>
    <col min="4" max="4" width="14.54296875" bestFit="1" customWidth="1"/>
    <col min="10" max="10" width="18.81640625" customWidth="1"/>
  </cols>
  <sheetData>
    <row r="1" spans="1:10" s="158" customFormat="1" x14ac:dyDescent="0.35">
      <c r="A1" s="1" t="s">
        <v>0</v>
      </c>
      <c r="B1" s="2" t="s">
        <v>16</v>
      </c>
      <c r="C1" s="3" t="s">
        <v>17</v>
      </c>
      <c r="D1" s="4" t="s">
        <v>18</v>
      </c>
      <c r="E1"/>
      <c r="F1" s="158" t="s">
        <v>1452</v>
      </c>
    </row>
    <row r="2" spans="1:10" x14ac:dyDescent="0.35">
      <c r="A2" s="116" t="s">
        <v>221</v>
      </c>
      <c r="B2" s="5">
        <v>1</v>
      </c>
      <c r="C2" s="6" t="s">
        <v>217</v>
      </c>
      <c r="D2" s="7">
        <f>COUNTA(A2:A73)-COUNT(A2:A73)</f>
        <v>53</v>
      </c>
    </row>
    <row r="3" spans="1:10" x14ac:dyDescent="0.35">
      <c r="A3" s="116">
        <v>4419877524</v>
      </c>
      <c r="B3" s="5">
        <v>2</v>
      </c>
      <c r="C3" s="6" t="s">
        <v>85</v>
      </c>
      <c r="D3" s="7">
        <f>COUNTIF(A:A,"R*")</f>
        <v>18</v>
      </c>
      <c r="F3" s="157" t="s">
        <v>122</v>
      </c>
      <c r="G3" s="157" t="s">
        <v>670</v>
      </c>
      <c r="H3" s="157" t="s">
        <v>672</v>
      </c>
      <c r="J3" s="157" t="s">
        <v>100</v>
      </c>
    </row>
    <row r="4" spans="1:10" x14ac:dyDescent="0.35">
      <c r="A4" s="116" t="s">
        <v>2</v>
      </c>
      <c r="B4" s="5">
        <v>3</v>
      </c>
      <c r="C4" s="6" t="s">
        <v>84</v>
      </c>
      <c r="D4" s="7">
        <f>COUNTIF(A:A,"*H")</f>
        <v>7</v>
      </c>
      <c r="F4" s="156">
        <f>LARGE($D$2:$D$9,1)</f>
        <v>53</v>
      </c>
      <c r="G4" s="156">
        <f>LARGE($D$2:$D$9,2)</f>
        <v>39</v>
      </c>
      <c r="H4" s="156">
        <f>LARGE($D$2:$D$9,3)</f>
        <v>18</v>
      </c>
      <c r="J4" s="159">
        <f>SUM(F4:H4)</f>
        <v>110</v>
      </c>
    </row>
    <row r="5" spans="1:10" x14ac:dyDescent="0.35">
      <c r="A5" s="116">
        <v>8407354181</v>
      </c>
      <c r="B5" s="5">
        <v>4</v>
      </c>
      <c r="C5" s="6" t="s">
        <v>71</v>
      </c>
      <c r="D5" s="7">
        <f>COUNTIF(A:A,"???")</f>
        <v>0</v>
      </c>
    </row>
    <row r="6" spans="1:10" x14ac:dyDescent="0.35">
      <c r="A6" s="116" t="s">
        <v>3</v>
      </c>
      <c r="B6" s="5">
        <v>5</v>
      </c>
      <c r="C6" s="6" t="s">
        <v>86</v>
      </c>
      <c r="D6" s="7">
        <f>COUNTIF(A:A,"*?a*")</f>
        <v>39</v>
      </c>
    </row>
    <row r="7" spans="1:10" ht="15.5" x14ac:dyDescent="0.35">
      <c r="A7" s="116" t="s">
        <v>4</v>
      </c>
      <c r="B7" s="5">
        <v>6</v>
      </c>
      <c r="C7" s="42" t="s">
        <v>87</v>
      </c>
      <c r="D7" s="7">
        <f>COUNTIF(A:A,"~*")</f>
        <v>6</v>
      </c>
    </row>
    <row r="8" spans="1:10" x14ac:dyDescent="0.35">
      <c r="A8" s="116" t="s">
        <v>5</v>
      </c>
      <c r="B8" s="5">
        <v>7</v>
      </c>
      <c r="C8" s="42" t="s">
        <v>218</v>
      </c>
      <c r="D8" s="7">
        <f>COUNTBLANK(A1:A73)</f>
        <v>2</v>
      </c>
    </row>
    <row r="9" spans="1:10" x14ac:dyDescent="0.35">
      <c r="A9" s="116" t="s">
        <v>83</v>
      </c>
      <c r="B9" s="5">
        <v>8</v>
      </c>
      <c r="C9" s="42" t="s">
        <v>219</v>
      </c>
      <c r="D9" s="7">
        <f>COUNTIF(A1:A73,"&lt;0")</f>
        <v>4</v>
      </c>
    </row>
    <row r="10" spans="1:10" x14ac:dyDescent="0.35">
      <c r="A10" s="116" t="s">
        <v>6</v>
      </c>
    </row>
    <row r="11" spans="1:10" x14ac:dyDescent="0.35">
      <c r="A11" s="116" t="s">
        <v>7</v>
      </c>
    </row>
    <row r="12" spans="1:10" x14ac:dyDescent="0.35">
      <c r="A12" s="116">
        <v>-5264324039</v>
      </c>
    </row>
    <row r="13" spans="1:10" x14ac:dyDescent="0.35">
      <c r="A13" s="116" t="s">
        <v>8</v>
      </c>
    </row>
    <row r="14" spans="1:10" x14ac:dyDescent="0.35">
      <c r="A14" s="116"/>
    </row>
    <row r="15" spans="1:10" x14ac:dyDescent="0.35">
      <c r="A15" s="116" t="s">
        <v>9</v>
      </c>
      <c r="C15" s="155"/>
    </row>
    <row r="16" spans="1:10" x14ac:dyDescent="0.35">
      <c r="A16" s="116" t="s">
        <v>10</v>
      </c>
    </row>
    <row r="17" spans="1:1" x14ac:dyDescent="0.35">
      <c r="A17" s="116">
        <v>7302590991</v>
      </c>
    </row>
    <row r="18" spans="1:1" x14ac:dyDescent="0.35">
      <c r="A18" s="116">
        <v>-2606375325</v>
      </c>
    </row>
    <row r="19" spans="1:1" x14ac:dyDescent="0.35">
      <c r="A19" s="116">
        <v>6396525655</v>
      </c>
    </row>
    <row r="20" spans="1:1" x14ac:dyDescent="0.35">
      <c r="A20" s="116" t="s">
        <v>12</v>
      </c>
    </row>
    <row r="21" spans="1:1" x14ac:dyDescent="0.35">
      <c r="A21" s="116" t="s">
        <v>83</v>
      </c>
    </row>
    <row r="22" spans="1:1" x14ac:dyDescent="0.35">
      <c r="A22" s="116" t="s">
        <v>13</v>
      </c>
    </row>
    <row r="23" spans="1:1" x14ac:dyDescent="0.35">
      <c r="A23" s="116" t="s">
        <v>14</v>
      </c>
    </row>
    <row r="24" spans="1:1" x14ac:dyDescent="0.35">
      <c r="A24" s="116" t="s">
        <v>15</v>
      </c>
    </row>
    <row r="25" spans="1:1" x14ac:dyDescent="0.35">
      <c r="A25" s="116" t="s">
        <v>5</v>
      </c>
    </row>
    <row r="26" spans="1:1" x14ac:dyDescent="0.35">
      <c r="A26" s="116" t="s">
        <v>1</v>
      </c>
    </row>
    <row r="27" spans="1:1" x14ac:dyDescent="0.35">
      <c r="A27" s="116">
        <v>-3190833972</v>
      </c>
    </row>
    <row r="28" spans="1:1" x14ac:dyDescent="0.35">
      <c r="A28" s="116" t="s">
        <v>2</v>
      </c>
    </row>
    <row r="29" spans="1:1" x14ac:dyDescent="0.35">
      <c r="A29" s="116"/>
    </row>
    <row r="30" spans="1:1" x14ac:dyDescent="0.35">
      <c r="A30" s="116" t="s">
        <v>3</v>
      </c>
    </row>
    <row r="31" spans="1:1" x14ac:dyDescent="0.35">
      <c r="A31" s="116" t="s">
        <v>4</v>
      </c>
    </row>
    <row r="32" spans="1:1" x14ac:dyDescent="0.35">
      <c r="A32" s="116" t="s">
        <v>5</v>
      </c>
    </row>
    <row r="33" spans="1:1" x14ac:dyDescent="0.35">
      <c r="A33" s="116">
        <v>7075531961</v>
      </c>
    </row>
    <row r="34" spans="1:1" x14ac:dyDescent="0.35">
      <c r="A34" s="116" t="s">
        <v>6</v>
      </c>
    </row>
    <row r="35" spans="1:1" x14ac:dyDescent="0.35">
      <c r="A35" s="116" t="s">
        <v>7</v>
      </c>
    </row>
    <row r="36" spans="1:1" x14ac:dyDescent="0.35">
      <c r="A36" s="116">
        <v>6668882012</v>
      </c>
    </row>
    <row r="37" spans="1:1" x14ac:dyDescent="0.35">
      <c r="A37" s="116" t="s">
        <v>8</v>
      </c>
    </row>
    <row r="38" spans="1:1" x14ac:dyDescent="0.35">
      <c r="A38" s="116" t="s">
        <v>83</v>
      </c>
    </row>
    <row r="39" spans="1:1" x14ac:dyDescent="0.35">
      <c r="A39" s="116" t="s">
        <v>9</v>
      </c>
    </row>
    <row r="40" spans="1:1" x14ac:dyDescent="0.35">
      <c r="A40" s="116">
        <v>3965580324</v>
      </c>
    </row>
    <row r="41" spans="1:1" x14ac:dyDescent="0.35">
      <c r="A41" s="116" t="s">
        <v>11</v>
      </c>
    </row>
    <row r="42" spans="1:1" x14ac:dyDescent="0.35">
      <c r="A42" s="116">
        <v>-1234567</v>
      </c>
    </row>
    <row r="43" spans="1:1" x14ac:dyDescent="0.35">
      <c r="A43" s="116">
        <v>4456301420</v>
      </c>
    </row>
    <row r="44" spans="1:1" x14ac:dyDescent="0.35">
      <c r="A44" s="116" t="s">
        <v>12</v>
      </c>
    </row>
    <row r="45" spans="1:1" x14ac:dyDescent="0.35">
      <c r="A45" s="116" t="s">
        <v>83</v>
      </c>
    </row>
    <row r="46" spans="1:1" x14ac:dyDescent="0.35">
      <c r="A46" s="116" t="s">
        <v>13</v>
      </c>
    </row>
    <row r="47" spans="1:1" x14ac:dyDescent="0.35">
      <c r="A47" s="116" t="s">
        <v>14</v>
      </c>
    </row>
    <row r="48" spans="1:1" x14ac:dyDescent="0.35">
      <c r="A48" s="116" t="s">
        <v>15</v>
      </c>
    </row>
    <row r="49" spans="1:1" x14ac:dyDescent="0.35">
      <c r="A49" s="116" t="s">
        <v>5</v>
      </c>
    </row>
    <row r="50" spans="1:1" x14ac:dyDescent="0.35">
      <c r="A50" s="116" t="s">
        <v>1</v>
      </c>
    </row>
    <row r="51" spans="1:1" x14ac:dyDescent="0.35">
      <c r="A51" s="116" t="s">
        <v>83</v>
      </c>
    </row>
    <row r="52" spans="1:1" x14ac:dyDescent="0.35">
      <c r="A52" s="116" t="s">
        <v>2</v>
      </c>
    </row>
    <row r="53" spans="1:1" x14ac:dyDescent="0.35">
      <c r="A53" s="116" t="s">
        <v>220</v>
      </c>
    </row>
    <row r="54" spans="1:1" x14ac:dyDescent="0.35">
      <c r="A54" s="116" t="s">
        <v>3</v>
      </c>
    </row>
    <row r="55" spans="1:1" x14ac:dyDescent="0.35">
      <c r="A55" s="116" t="s">
        <v>4</v>
      </c>
    </row>
    <row r="56" spans="1:1" x14ac:dyDescent="0.35">
      <c r="A56" s="116" t="s">
        <v>5</v>
      </c>
    </row>
    <row r="57" spans="1:1" x14ac:dyDescent="0.35">
      <c r="A57" s="116">
        <v>3594181137</v>
      </c>
    </row>
    <row r="58" spans="1:1" x14ac:dyDescent="0.35">
      <c r="A58" s="116" t="s">
        <v>6</v>
      </c>
    </row>
    <row r="59" spans="1:1" x14ac:dyDescent="0.35">
      <c r="A59" s="116" t="s">
        <v>7</v>
      </c>
    </row>
    <row r="60" spans="1:1" x14ac:dyDescent="0.35">
      <c r="A60" s="116">
        <v>1750527703</v>
      </c>
    </row>
    <row r="61" spans="1:1" x14ac:dyDescent="0.35">
      <c r="A61" s="116" t="s">
        <v>8</v>
      </c>
    </row>
    <row r="62" spans="1:1" x14ac:dyDescent="0.35">
      <c r="A62" s="116">
        <v>7243182681</v>
      </c>
    </row>
    <row r="63" spans="1:1" x14ac:dyDescent="0.35">
      <c r="A63" s="116" t="s">
        <v>9</v>
      </c>
    </row>
    <row r="64" spans="1:1" x14ac:dyDescent="0.35">
      <c r="A64" s="116">
        <v>3303185388</v>
      </c>
    </row>
    <row r="65" spans="1:1" x14ac:dyDescent="0.35">
      <c r="A65" s="116" t="s">
        <v>11</v>
      </c>
    </row>
    <row r="66" spans="1:1" x14ac:dyDescent="0.35">
      <c r="A66" s="116" t="s">
        <v>6</v>
      </c>
    </row>
    <row r="67" spans="1:1" x14ac:dyDescent="0.35">
      <c r="A67" s="116" t="s">
        <v>8</v>
      </c>
    </row>
    <row r="68" spans="1:1" x14ac:dyDescent="0.35">
      <c r="A68" s="116" t="s">
        <v>12</v>
      </c>
    </row>
    <row r="69" spans="1:1" x14ac:dyDescent="0.35">
      <c r="A69" s="116" t="s">
        <v>83</v>
      </c>
    </row>
    <row r="70" spans="1:1" x14ac:dyDescent="0.35">
      <c r="A70" s="116">
        <v>1646474029</v>
      </c>
    </row>
    <row r="71" spans="1:1" x14ac:dyDescent="0.35">
      <c r="A71" s="116" t="s">
        <v>14</v>
      </c>
    </row>
    <row r="72" spans="1:1" x14ac:dyDescent="0.35">
      <c r="A72" s="116" t="s">
        <v>15</v>
      </c>
    </row>
    <row r="73" spans="1:1" x14ac:dyDescent="0.35">
      <c r="A73" s="11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58"/>
  <sheetViews>
    <sheetView showGridLines="0" zoomScaleNormal="100" workbookViewId="0"/>
  </sheetViews>
  <sheetFormatPr defaultRowHeight="14.5" x14ac:dyDescent="0.35"/>
  <cols>
    <col min="1" max="2" width="17.1796875" style="47" customWidth="1"/>
    <col min="3" max="3" width="17.1796875" style="48" customWidth="1"/>
    <col min="4" max="4" width="21" style="47" customWidth="1"/>
    <col min="5" max="5" width="7.54296875" style="47" customWidth="1"/>
    <col min="6" max="6" width="22" style="47" customWidth="1"/>
    <col min="7" max="7" width="13.1796875" style="47" bestFit="1" customWidth="1"/>
    <col min="8" max="8" width="16.81640625" style="47" bestFit="1" customWidth="1"/>
    <col min="9" max="9" width="20.26953125" style="47" bestFit="1" customWidth="1"/>
    <col min="10" max="10" width="7.81640625" style="47" customWidth="1"/>
    <col min="11" max="11" width="12.26953125" style="47" customWidth="1"/>
    <col min="12" max="12" width="10.54296875" style="48" customWidth="1"/>
    <col min="13" max="250" width="9.1796875" style="47"/>
    <col min="251" max="251" width="4.7265625" style="47" customWidth="1"/>
    <col min="252" max="252" width="11.453125" style="47" customWidth="1"/>
    <col min="253" max="253" width="26.54296875" style="47" customWidth="1"/>
    <col min="254" max="254" width="25" style="47" customWidth="1"/>
    <col min="255" max="255" width="20.54296875" style="47" customWidth="1"/>
    <col min="256" max="256" width="23.54296875" style="47" bestFit="1" customWidth="1"/>
    <col min="257" max="257" width="19.81640625" style="47" customWidth="1"/>
    <col min="258" max="258" width="24.453125" style="47" customWidth="1"/>
    <col min="259" max="259" width="20.453125" style="47" bestFit="1" customWidth="1"/>
    <col min="260" max="260" width="14.81640625" style="47" customWidth="1"/>
    <col min="261" max="506" width="9.1796875" style="47"/>
    <col min="507" max="507" width="4.7265625" style="47" customWidth="1"/>
    <col min="508" max="508" width="11.453125" style="47" customWidth="1"/>
    <col min="509" max="509" width="26.54296875" style="47" customWidth="1"/>
    <col min="510" max="510" width="25" style="47" customWidth="1"/>
    <col min="511" max="511" width="20.54296875" style="47" customWidth="1"/>
    <col min="512" max="512" width="23.54296875" style="47" bestFit="1" customWidth="1"/>
    <col min="513" max="513" width="19.81640625" style="47" customWidth="1"/>
    <col min="514" max="514" width="24.453125" style="47" customWidth="1"/>
    <col min="515" max="515" width="20.453125" style="47" bestFit="1" customWidth="1"/>
    <col min="516" max="516" width="14.81640625" style="47" customWidth="1"/>
    <col min="517" max="762" width="9.1796875" style="47"/>
    <col min="763" max="763" width="4.7265625" style="47" customWidth="1"/>
    <col min="764" max="764" width="11.453125" style="47" customWidth="1"/>
    <col min="765" max="765" width="26.54296875" style="47" customWidth="1"/>
    <col min="766" max="766" width="25" style="47" customWidth="1"/>
    <col min="767" max="767" width="20.54296875" style="47" customWidth="1"/>
    <col min="768" max="768" width="23.54296875" style="47" bestFit="1" customWidth="1"/>
    <col min="769" max="769" width="19.81640625" style="47" customWidth="1"/>
    <col min="770" max="770" width="24.453125" style="47" customWidth="1"/>
    <col min="771" max="771" width="20.453125" style="47" bestFit="1" customWidth="1"/>
    <col min="772" max="772" width="14.81640625" style="47" customWidth="1"/>
    <col min="773" max="1018" width="9.1796875" style="47"/>
    <col min="1019" max="1019" width="4.7265625" style="47" customWidth="1"/>
    <col min="1020" max="1020" width="11.453125" style="47" customWidth="1"/>
    <col min="1021" max="1021" width="26.54296875" style="47" customWidth="1"/>
    <col min="1022" max="1022" width="25" style="47" customWidth="1"/>
    <col min="1023" max="1023" width="20.54296875" style="47" customWidth="1"/>
    <col min="1024" max="1024" width="23.54296875" style="47" bestFit="1" customWidth="1"/>
    <col min="1025" max="1025" width="19.81640625" style="47" customWidth="1"/>
    <col min="1026" max="1026" width="24.453125" style="47" customWidth="1"/>
    <col min="1027" max="1027" width="20.453125" style="47" bestFit="1" customWidth="1"/>
    <col min="1028" max="1028" width="14.81640625" style="47" customWidth="1"/>
    <col min="1029" max="1274" width="9.1796875" style="47"/>
    <col min="1275" max="1275" width="4.7265625" style="47" customWidth="1"/>
    <col min="1276" max="1276" width="11.453125" style="47" customWidth="1"/>
    <col min="1277" max="1277" width="26.54296875" style="47" customWidth="1"/>
    <col min="1278" max="1278" width="25" style="47" customWidth="1"/>
    <col min="1279" max="1279" width="20.54296875" style="47" customWidth="1"/>
    <col min="1280" max="1280" width="23.54296875" style="47" bestFit="1" customWidth="1"/>
    <col min="1281" max="1281" width="19.81640625" style="47" customWidth="1"/>
    <col min="1282" max="1282" width="24.453125" style="47" customWidth="1"/>
    <col min="1283" max="1283" width="20.453125" style="47" bestFit="1" customWidth="1"/>
    <col min="1284" max="1284" width="14.81640625" style="47" customWidth="1"/>
    <col min="1285" max="1530" width="9.1796875" style="47"/>
    <col min="1531" max="1531" width="4.7265625" style="47" customWidth="1"/>
    <col min="1532" max="1532" width="11.453125" style="47" customWidth="1"/>
    <col min="1533" max="1533" width="26.54296875" style="47" customWidth="1"/>
    <col min="1534" max="1534" width="25" style="47" customWidth="1"/>
    <col min="1535" max="1535" width="20.54296875" style="47" customWidth="1"/>
    <col min="1536" max="1536" width="23.54296875" style="47" bestFit="1" customWidth="1"/>
    <col min="1537" max="1537" width="19.81640625" style="47" customWidth="1"/>
    <col min="1538" max="1538" width="24.453125" style="47" customWidth="1"/>
    <col min="1539" max="1539" width="20.453125" style="47" bestFit="1" customWidth="1"/>
    <col min="1540" max="1540" width="14.81640625" style="47" customWidth="1"/>
    <col min="1541" max="1786" width="9.1796875" style="47"/>
    <col min="1787" max="1787" width="4.7265625" style="47" customWidth="1"/>
    <col min="1788" max="1788" width="11.453125" style="47" customWidth="1"/>
    <col min="1789" max="1789" width="26.54296875" style="47" customWidth="1"/>
    <col min="1790" max="1790" width="25" style="47" customWidth="1"/>
    <col min="1791" max="1791" width="20.54296875" style="47" customWidth="1"/>
    <col min="1792" max="1792" width="23.54296875" style="47" bestFit="1" customWidth="1"/>
    <col min="1793" max="1793" width="19.81640625" style="47" customWidth="1"/>
    <col min="1794" max="1794" width="24.453125" style="47" customWidth="1"/>
    <col min="1795" max="1795" width="20.453125" style="47" bestFit="1" customWidth="1"/>
    <col min="1796" max="1796" width="14.81640625" style="47" customWidth="1"/>
    <col min="1797" max="2042" width="9.1796875" style="47"/>
    <col min="2043" max="2043" width="4.7265625" style="47" customWidth="1"/>
    <col min="2044" max="2044" width="11.453125" style="47" customWidth="1"/>
    <col min="2045" max="2045" width="26.54296875" style="47" customWidth="1"/>
    <col min="2046" max="2046" width="25" style="47" customWidth="1"/>
    <col min="2047" max="2047" width="20.54296875" style="47" customWidth="1"/>
    <col min="2048" max="2048" width="23.54296875" style="47" bestFit="1" customWidth="1"/>
    <col min="2049" max="2049" width="19.81640625" style="47" customWidth="1"/>
    <col min="2050" max="2050" width="24.453125" style="47" customWidth="1"/>
    <col min="2051" max="2051" width="20.453125" style="47" bestFit="1" customWidth="1"/>
    <col min="2052" max="2052" width="14.81640625" style="47" customWidth="1"/>
    <col min="2053" max="2298" width="9.1796875" style="47"/>
    <col min="2299" max="2299" width="4.7265625" style="47" customWidth="1"/>
    <col min="2300" max="2300" width="11.453125" style="47" customWidth="1"/>
    <col min="2301" max="2301" width="26.54296875" style="47" customWidth="1"/>
    <col min="2302" max="2302" width="25" style="47" customWidth="1"/>
    <col min="2303" max="2303" width="20.54296875" style="47" customWidth="1"/>
    <col min="2304" max="2304" width="23.54296875" style="47" bestFit="1" customWidth="1"/>
    <col min="2305" max="2305" width="19.81640625" style="47" customWidth="1"/>
    <col min="2306" max="2306" width="24.453125" style="47" customWidth="1"/>
    <col min="2307" max="2307" width="20.453125" style="47" bestFit="1" customWidth="1"/>
    <col min="2308" max="2308" width="14.81640625" style="47" customWidth="1"/>
    <col min="2309" max="2554" width="9.1796875" style="47"/>
    <col min="2555" max="2555" width="4.7265625" style="47" customWidth="1"/>
    <col min="2556" max="2556" width="11.453125" style="47" customWidth="1"/>
    <col min="2557" max="2557" width="26.54296875" style="47" customWidth="1"/>
    <col min="2558" max="2558" width="25" style="47" customWidth="1"/>
    <col min="2559" max="2559" width="20.54296875" style="47" customWidth="1"/>
    <col min="2560" max="2560" width="23.54296875" style="47" bestFit="1" customWidth="1"/>
    <col min="2561" max="2561" width="19.81640625" style="47" customWidth="1"/>
    <col min="2562" max="2562" width="24.453125" style="47" customWidth="1"/>
    <col min="2563" max="2563" width="20.453125" style="47" bestFit="1" customWidth="1"/>
    <col min="2564" max="2564" width="14.81640625" style="47" customWidth="1"/>
    <col min="2565" max="2810" width="9.1796875" style="47"/>
    <col min="2811" max="2811" width="4.7265625" style="47" customWidth="1"/>
    <col min="2812" max="2812" width="11.453125" style="47" customWidth="1"/>
    <col min="2813" max="2813" width="26.54296875" style="47" customWidth="1"/>
    <col min="2814" max="2814" width="25" style="47" customWidth="1"/>
    <col min="2815" max="2815" width="20.54296875" style="47" customWidth="1"/>
    <col min="2816" max="2816" width="23.54296875" style="47" bestFit="1" customWidth="1"/>
    <col min="2817" max="2817" width="19.81640625" style="47" customWidth="1"/>
    <col min="2818" max="2818" width="24.453125" style="47" customWidth="1"/>
    <col min="2819" max="2819" width="20.453125" style="47" bestFit="1" customWidth="1"/>
    <col min="2820" max="2820" width="14.81640625" style="47" customWidth="1"/>
    <col min="2821" max="3066" width="9.1796875" style="47"/>
    <col min="3067" max="3067" width="4.7265625" style="47" customWidth="1"/>
    <col min="3068" max="3068" width="11.453125" style="47" customWidth="1"/>
    <col min="3069" max="3069" width="26.54296875" style="47" customWidth="1"/>
    <col min="3070" max="3070" width="25" style="47" customWidth="1"/>
    <col min="3071" max="3071" width="20.54296875" style="47" customWidth="1"/>
    <col min="3072" max="3072" width="23.54296875" style="47" bestFit="1" customWidth="1"/>
    <col min="3073" max="3073" width="19.81640625" style="47" customWidth="1"/>
    <col min="3074" max="3074" width="24.453125" style="47" customWidth="1"/>
    <col min="3075" max="3075" width="20.453125" style="47" bestFit="1" customWidth="1"/>
    <col min="3076" max="3076" width="14.81640625" style="47" customWidth="1"/>
    <col min="3077" max="3322" width="9.1796875" style="47"/>
    <col min="3323" max="3323" width="4.7265625" style="47" customWidth="1"/>
    <col min="3324" max="3324" width="11.453125" style="47" customWidth="1"/>
    <col min="3325" max="3325" width="26.54296875" style="47" customWidth="1"/>
    <col min="3326" max="3326" width="25" style="47" customWidth="1"/>
    <col min="3327" max="3327" width="20.54296875" style="47" customWidth="1"/>
    <col min="3328" max="3328" width="23.54296875" style="47" bestFit="1" customWidth="1"/>
    <col min="3329" max="3329" width="19.81640625" style="47" customWidth="1"/>
    <col min="3330" max="3330" width="24.453125" style="47" customWidth="1"/>
    <col min="3331" max="3331" width="20.453125" style="47" bestFit="1" customWidth="1"/>
    <col min="3332" max="3332" width="14.81640625" style="47" customWidth="1"/>
    <col min="3333" max="3578" width="9.1796875" style="47"/>
    <col min="3579" max="3579" width="4.7265625" style="47" customWidth="1"/>
    <col min="3580" max="3580" width="11.453125" style="47" customWidth="1"/>
    <col min="3581" max="3581" width="26.54296875" style="47" customWidth="1"/>
    <col min="3582" max="3582" width="25" style="47" customWidth="1"/>
    <col min="3583" max="3583" width="20.54296875" style="47" customWidth="1"/>
    <col min="3584" max="3584" width="23.54296875" style="47" bestFit="1" customWidth="1"/>
    <col min="3585" max="3585" width="19.81640625" style="47" customWidth="1"/>
    <col min="3586" max="3586" width="24.453125" style="47" customWidth="1"/>
    <col min="3587" max="3587" width="20.453125" style="47" bestFit="1" customWidth="1"/>
    <col min="3588" max="3588" width="14.81640625" style="47" customWidth="1"/>
    <col min="3589" max="3834" width="9.1796875" style="47"/>
    <col min="3835" max="3835" width="4.7265625" style="47" customWidth="1"/>
    <col min="3836" max="3836" width="11.453125" style="47" customWidth="1"/>
    <col min="3837" max="3837" width="26.54296875" style="47" customWidth="1"/>
    <col min="3838" max="3838" width="25" style="47" customWidth="1"/>
    <col min="3839" max="3839" width="20.54296875" style="47" customWidth="1"/>
    <col min="3840" max="3840" width="23.54296875" style="47" bestFit="1" customWidth="1"/>
    <col min="3841" max="3841" width="19.81640625" style="47" customWidth="1"/>
    <col min="3842" max="3842" width="24.453125" style="47" customWidth="1"/>
    <col min="3843" max="3843" width="20.453125" style="47" bestFit="1" customWidth="1"/>
    <col min="3844" max="3844" width="14.81640625" style="47" customWidth="1"/>
    <col min="3845" max="4090" width="9.1796875" style="47"/>
    <col min="4091" max="4091" width="4.7265625" style="47" customWidth="1"/>
    <col min="4092" max="4092" width="11.453125" style="47" customWidth="1"/>
    <col min="4093" max="4093" width="26.54296875" style="47" customWidth="1"/>
    <col min="4094" max="4094" width="25" style="47" customWidth="1"/>
    <col min="4095" max="4095" width="20.54296875" style="47" customWidth="1"/>
    <col min="4096" max="4096" width="23.54296875" style="47" bestFit="1" customWidth="1"/>
    <col min="4097" max="4097" width="19.81640625" style="47" customWidth="1"/>
    <col min="4098" max="4098" width="24.453125" style="47" customWidth="1"/>
    <col min="4099" max="4099" width="20.453125" style="47" bestFit="1" customWidth="1"/>
    <col min="4100" max="4100" width="14.81640625" style="47" customWidth="1"/>
    <col min="4101" max="4346" width="9.1796875" style="47"/>
    <col min="4347" max="4347" width="4.7265625" style="47" customWidth="1"/>
    <col min="4348" max="4348" width="11.453125" style="47" customWidth="1"/>
    <col min="4349" max="4349" width="26.54296875" style="47" customWidth="1"/>
    <col min="4350" max="4350" width="25" style="47" customWidth="1"/>
    <col min="4351" max="4351" width="20.54296875" style="47" customWidth="1"/>
    <col min="4352" max="4352" width="23.54296875" style="47" bestFit="1" customWidth="1"/>
    <col min="4353" max="4353" width="19.81640625" style="47" customWidth="1"/>
    <col min="4354" max="4354" width="24.453125" style="47" customWidth="1"/>
    <col min="4355" max="4355" width="20.453125" style="47" bestFit="1" customWidth="1"/>
    <col min="4356" max="4356" width="14.81640625" style="47" customWidth="1"/>
    <col min="4357" max="4602" width="9.1796875" style="47"/>
    <col min="4603" max="4603" width="4.7265625" style="47" customWidth="1"/>
    <col min="4604" max="4604" width="11.453125" style="47" customWidth="1"/>
    <col min="4605" max="4605" width="26.54296875" style="47" customWidth="1"/>
    <col min="4606" max="4606" width="25" style="47" customWidth="1"/>
    <col min="4607" max="4607" width="20.54296875" style="47" customWidth="1"/>
    <col min="4608" max="4608" width="23.54296875" style="47" bestFit="1" customWidth="1"/>
    <col min="4609" max="4609" width="19.81640625" style="47" customWidth="1"/>
    <col min="4610" max="4610" width="24.453125" style="47" customWidth="1"/>
    <col min="4611" max="4611" width="20.453125" style="47" bestFit="1" customWidth="1"/>
    <col min="4612" max="4612" width="14.81640625" style="47" customWidth="1"/>
    <col min="4613" max="4858" width="9.1796875" style="47"/>
    <col min="4859" max="4859" width="4.7265625" style="47" customWidth="1"/>
    <col min="4860" max="4860" width="11.453125" style="47" customWidth="1"/>
    <col min="4861" max="4861" width="26.54296875" style="47" customWidth="1"/>
    <col min="4862" max="4862" width="25" style="47" customWidth="1"/>
    <col min="4863" max="4863" width="20.54296875" style="47" customWidth="1"/>
    <col min="4864" max="4864" width="23.54296875" style="47" bestFit="1" customWidth="1"/>
    <col min="4865" max="4865" width="19.81640625" style="47" customWidth="1"/>
    <col min="4866" max="4866" width="24.453125" style="47" customWidth="1"/>
    <col min="4867" max="4867" width="20.453125" style="47" bestFit="1" customWidth="1"/>
    <col min="4868" max="4868" width="14.81640625" style="47" customWidth="1"/>
    <col min="4869" max="5114" width="9.1796875" style="47"/>
    <col min="5115" max="5115" width="4.7265625" style="47" customWidth="1"/>
    <col min="5116" max="5116" width="11.453125" style="47" customWidth="1"/>
    <col min="5117" max="5117" width="26.54296875" style="47" customWidth="1"/>
    <col min="5118" max="5118" width="25" style="47" customWidth="1"/>
    <col min="5119" max="5119" width="20.54296875" style="47" customWidth="1"/>
    <col min="5120" max="5120" width="23.54296875" style="47" bestFit="1" customWidth="1"/>
    <col min="5121" max="5121" width="19.81640625" style="47" customWidth="1"/>
    <col min="5122" max="5122" width="24.453125" style="47" customWidth="1"/>
    <col min="5123" max="5123" width="20.453125" style="47" bestFit="1" customWidth="1"/>
    <col min="5124" max="5124" width="14.81640625" style="47" customWidth="1"/>
    <col min="5125" max="5370" width="9.1796875" style="47"/>
    <col min="5371" max="5371" width="4.7265625" style="47" customWidth="1"/>
    <col min="5372" max="5372" width="11.453125" style="47" customWidth="1"/>
    <col min="5373" max="5373" width="26.54296875" style="47" customWidth="1"/>
    <col min="5374" max="5374" width="25" style="47" customWidth="1"/>
    <col min="5375" max="5375" width="20.54296875" style="47" customWidth="1"/>
    <col min="5376" max="5376" width="23.54296875" style="47" bestFit="1" customWidth="1"/>
    <col min="5377" max="5377" width="19.81640625" style="47" customWidth="1"/>
    <col min="5378" max="5378" width="24.453125" style="47" customWidth="1"/>
    <col min="5379" max="5379" width="20.453125" style="47" bestFit="1" customWidth="1"/>
    <col min="5380" max="5380" width="14.81640625" style="47" customWidth="1"/>
    <col min="5381" max="5626" width="9.1796875" style="47"/>
    <col min="5627" max="5627" width="4.7265625" style="47" customWidth="1"/>
    <col min="5628" max="5628" width="11.453125" style="47" customWidth="1"/>
    <col min="5629" max="5629" width="26.54296875" style="47" customWidth="1"/>
    <col min="5630" max="5630" width="25" style="47" customWidth="1"/>
    <col min="5631" max="5631" width="20.54296875" style="47" customWidth="1"/>
    <col min="5632" max="5632" width="23.54296875" style="47" bestFit="1" customWidth="1"/>
    <col min="5633" max="5633" width="19.81640625" style="47" customWidth="1"/>
    <col min="5634" max="5634" width="24.453125" style="47" customWidth="1"/>
    <col min="5635" max="5635" width="20.453125" style="47" bestFit="1" customWidth="1"/>
    <col min="5636" max="5636" width="14.81640625" style="47" customWidth="1"/>
    <col min="5637" max="5882" width="9.1796875" style="47"/>
    <col min="5883" max="5883" width="4.7265625" style="47" customWidth="1"/>
    <col min="5884" max="5884" width="11.453125" style="47" customWidth="1"/>
    <col min="5885" max="5885" width="26.54296875" style="47" customWidth="1"/>
    <col min="5886" max="5886" width="25" style="47" customWidth="1"/>
    <col min="5887" max="5887" width="20.54296875" style="47" customWidth="1"/>
    <col min="5888" max="5888" width="23.54296875" style="47" bestFit="1" customWidth="1"/>
    <col min="5889" max="5889" width="19.81640625" style="47" customWidth="1"/>
    <col min="5890" max="5890" width="24.453125" style="47" customWidth="1"/>
    <col min="5891" max="5891" width="20.453125" style="47" bestFit="1" customWidth="1"/>
    <col min="5892" max="5892" width="14.81640625" style="47" customWidth="1"/>
    <col min="5893" max="6138" width="9.1796875" style="47"/>
    <col min="6139" max="6139" width="4.7265625" style="47" customWidth="1"/>
    <col min="6140" max="6140" width="11.453125" style="47" customWidth="1"/>
    <col min="6141" max="6141" width="26.54296875" style="47" customWidth="1"/>
    <col min="6142" max="6142" width="25" style="47" customWidth="1"/>
    <col min="6143" max="6143" width="20.54296875" style="47" customWidth="1"/>
    <col min="6144" max="6144" width="23.54296875" style="47" bestFit="1" customWidth="1"/>
    <col min="6145" max="6145" width="19.81640625" style="47" customWidth="1"/>
    <col min="6146" max="6146" width="24.453125" style="47" customWidth="1"/>
    <col min="6147" max="6147" width="20.453125" style="47" bestFit="1" customWidth="1"/>
    <col min="6148" max="6148" width="14.81640625" style="47" customWidth="1"/>
    <col min="6149" max="6394" width="9.1796875" style="47"/>
    <col min="6395" max="6395" width="4.7265625" style="47" customWidth="1"/>
    <col min="6396" max="6396" width="11.453125" style="47" customWidth="1"/>
    <col min="6397" max="6397" width="26.54296875" style="47" customWidth="1"/>
    <col min="6398" max="6398" width="25" style="47" customWidth="1"/>
    <col min="6399" max="6399" width="20.54296875" style="47" customWidth="1"/>
    <col min="6400" max="6400" width="23.54296875" style="47" bestFit="1" customWidth="1"/>
    <col min="6401" max="6401" width="19.81640625" style="47" customWidth="1"/>
    <col min="6402" max="6402" width="24.453125" style="47" customWidth="1"/>
    <col min="6403" max="6403" width="20.453125" style="47" bestFit="1" customWidth="1"/>
    <col min="6404" max="6404" width="14.81640625" style="47" customWidth="1"/>
    <col min="6405" max="6650" width="9.1796875" style="47"/>
    <col min="6651" max="6651" width="4.7265625" style="47" customWidth="1"/>
    <col min="6652" max="6652" width="11.453125" style="47" customWidth="1"/>
    <col min="6653" max="6653" width="26.54296875" style="47" customWidth="1"/>
    <col min="6654" max="6654" width="25" style="47" customWidth="1"/>
    <col min="6655" max="6655" width="20.54296875" style="47" customWidth="1"/>
    <col min="6656" max="6656" width="23.54296875" style="47" bestFit="1" customWidth="1"/>
    <col min="6657" max="6657" width="19.81640625" style="47" customWidth="1"/>
    <col min="6658" max="6658" width="24.453125" style="47" customWidth="1"/>
    <col min="6659" max="6659" width="20.453125" style="47" bestFit="1" customWidth="1"/>
    <col min="6660" max="6660" width="14.81640625" style="47" customWidth="1"/>
    <col min="6661" max="6906" width="9.1796875" style="47"/>
    <col min="6907" max="6907" width="4.7265625" style="47" customWidth="1"/>
    <col min="6908" max="6908" width="11.453125" style="47" customWidth="1"/>
    <col min="6909" max="6909" width="26.54296875" style="47" customWidth="1"/>
    <col min="6910" max="6910" width="25" style="47" customWidth="1"/>
    <col min="6911" max="6911" width="20.54296875" style="47" customWidth="1"/>
    <col min="6912" max="6912" width="23.54296875" style="47" bestFit="1" customWidth="1"/>
    <col min="6913" max="6913" width="19.81640625" style="47" customWidth="1"/>
    <col min="6914" max="6914" width="24.453125" style="47" customWidth="1"/>
    <col min="6915" max="6915" width="20.453125" style="47" bestFit="1" customWidth="1"/>
    <col min="6916" max="6916" width="14.81640625" style="47" customWidth="1"/>
    <col min="6917" max="7162" width="9.1796875" style="47"/>
    <col min="7163" max="7163" width="4.7265625" style="47" customWidth="1"/>
    <col min="7164" max="7164" width="11.453125" style="47" customWidth="1"/>
    <col min="7165" max="7165" width="26.54296875" style="47" customWidth="1"/>
    <col min="7166" max="7166" width="25" style="47" customWidth="1"/>
    <col min="7167" max="7167" width="20.54296875" style="47" customWidth="1"/>
    <col min="7168" max="7168" width="23.54296875" style="47" bestFit="1" customWidth="1"/>
    <col min="7169" max="7169" width="19.81640625" style="47" customWidth="1"/>
    <col min="7170" max="7170" width="24.453125" style="47" customWidth="1"/>
    <col min="7171" max="7171" width="20.453125" style="47" bestFit="1" customWidth="1"/>
    <col min="7172" max="7172" width="14.81640625" style="47" customWidth="1"/>
    <col min="7173" max="7418" width="9.1796875" style="47"/>
    <col min="7419" max="7419" width="4.7265625" style="47" customWidth="1"/>
    <col min="7420" max="7420" width="11.453125" style="47" customWidth="1"/>
    <col min="7421" max="7421" width="26.54296875" style="47" customWidth="1"/>
    <col min="7422" max="7422" width="25" style="47" customWidth="1"/>
    <col min="7423" max="7423" width="20.54296875" style="47" customWidth="1"/>
    <col min="7424" max="7424" width="23.54296875" style="47" bestFit="1" customWidth="1"/>
    <col min="7425" max="7425" width="19.81640625" style="47" customWidth="1"/>
    <col min="7426" max="7426" width="24.453125" style="47" customWidth="1"/>
    <col min="7427" max="7427" width="20.453125" style="47" bestFit="1" customWidth="1"/>
    <col min="7428" max="7428" width="14.81640625" style="47" customWidth="1"/>
    <col min="7429" max="7674" width="9.1796875" style="47"/>
    <col min="7675" max="7675" width="4.7265625" style="47" customWidth="1"/>
    <col min="7676" max="7676" width="11.453125" style="47" customWidth="1"/>
    <col min="7677" max="7677" width="26.54296875" style="47" customWidth="1"/>
    <col min="7678" max="7678" width="25" style="47" customWidth="1"/>
    <col min="7679" max="7679" width="20.54296875" style="47" customWidth="1"/>
    <col min="7680" max="7680" width="23.54296875" style="47" bestFit="1" customWidth="1"/>
    <col min="7681" max="7681" width="19.81640625" style="47" customWidth="1"/>
    <col min="7682" max="7682" width="24.453125" style="47" customWidth="1"/>
    <col min="7683" max="7683" width="20.453125" style="47" bestFit="1" customWidth="1"/>
    <col min="7684" max="7684" width="14.81640625" style="47" customWidth="1"/>
    <col min="7685" max="7930" width="9.1796875" style="47"/>
    <col min="7931" max="7931" width="4.7265625" style="47" customWidth="1"/>
    <col min="7932" max="7932" width="11.453125" style="47" customWidth="1"/>
    <col min="7933" max="7933" width="26.54296875" style="47" customWidth="1"/>
    <col min="7934" max="7934" width="25" style="47" customWidth="1"/>
    <col min="7935" max="7935" width="20.54296875" style="47" customWidth="1"/>
    <col min="7936" max="7936" width="23.54296875" style="47" bestFit="1" customWidth="1"/>
    <col min="7937" max="7937" width="19.81640625" style="47" customWidth="1"/>
    <col min="7938" max="7938" width="24.453125" style="47" customWidth="1"/>
    <col min="7939" max="7939" width="20.453125" style="47" bestFit="1" customWidth="1"/>
    <col min="7940" max="7940" width="14.81640625" style="47" customWidth="1"/>
    <col min="7941" max="8186" width="9.1796875" style="47"/>
    <col min="8187" max="8187" width="4.7265625" style="47" customWidth="1"/>
    <col min="8188" max="8188" width="11.453125" style="47" customWidth="1"/>
    <col min="8189" max="8189" width="26.54296875" style="47" customWidth="1"/>
    <col min="8190" max="8190" width="25" style="47" customWidth="1"/>
    <col min="8191" max="8191" width="20.54296875" style="47" customWidth="1"/>
    <col min="8192" max="8192" width="23.54296875" style="47" bestFit="1" customWidth="1"/>
    <col min="8193" max="8193" width="19.81640625" style="47" customWidth="1"/>
    <col min="8194" max="8194" width="24.453125" style="47" customWidth="1"/>
    <col min="8195" max="8195" width="20.453125" style="47" bestFit="1" customWidth="1"/>
    <col min="8196" max="8196" width="14.81640625" style="47" customWidth="1"/>
    <col min="8197" max="8442" width="9.1796875" style="47"/>
    <col min="8443" max="8443" width="4.7265625" style="47" customWidth="1"/>
    <col min="8444" max="8444" width="11.453125" style="47" customWidth="1"/>
    <col min="8445" max="8445" width="26.54296875" style="47" customWidth="1"/>
    <col min="8446" max="8446" width="25" style="47" customWidth="1"/>
    <col min="8447" max="8447" width="20.54296875" style="47" customWidth="1"/>
    <col min="8448" max="8448" width="23.54296875" style="47" bestFit="1" customWidth="1"/>
    <col min="8449" max="8449" width="19.81640625" style="47" customWidth="1"/>
    <col min="8450" max="8450" width="24.453125" style="47" customWidth="1"/>
    <col min="8451" max="8451" width="20.453125" style="47" bestFit="1" customWidth="1"/>
    <col min="8452" max="8452" width="14.81640625" style="47" customWidth="1"/>
    <col min="8453" max="8698" width="9.1796875" style="47"/>
    <col min="8699" max="8699" width="4.7265625" style="47" customWidth="1"/>
    <col min="8700" max="8700" width="11.453125" style="47" customWidth="1"/>
    <col min="8701" max="8701" width="26.54296875" style="47" customWidth="1"/>
    <col min="8702" max="8702" width="25" style="47" customWidth="1"/>
    <col min="8703" max="8703" width="20.54296875" style="47" customWidth="1"/>
    <col min="8704" max="8704" width="23.54296875" style="47" bestFit="1" customWidth="1"/>
    <col min="8705" max="8705" width="19.81640625" style="47" customWidth="1"/>
    <col min="8706" max="8706" width="24.453125" style="47" customWidth="1"/>
    <col min="8707" max="8707" width="20.453125" style="47" bestFit="1" customWidth="1"/>
    <col min="8708" max="8708" width="14.81640625" style="47" customWidth="1"/>
    <col min="8709" max="8954" width="9.1796875" style="47"/>
    <col min="8955" max="8955" width="4.7265625" style="47" customWidth="1"/>
    <col min="8956" max="8956" width="11.453125" style="47" customWidth="1"/>
    <col min="8957" max="8957" width="26.54296875" style="47" customWidth="1"/>
    <col min="8958" max="8958" width="25" style="47" customWidth="1"/>
    <col min="8959" max="8959" width="20.54296875" style="47" customWidth="1"/>
    <col min="8960" max="8960" width="23.54296875" style="47" bestFit="1" customWidth="1"/>
    <col min="8961" max="8961" width="19.81640625" style="47" customWidth="1"/>
    <col min="8962" max="8962" width="24.453125" style="47" customWidth="1"/>
    <col min="8963" max="8963" width="20.453125" style="47" bestFit="1" customWidth="1"/>
    <col min="8964" max="8964" width="14.81640625" style="47" customWidth="1"/>
    <col min="8965" max="9210" width="9.1796875" style="47"/>
    <col min="9211" max="9211" width="4.7265625" style="47" customWidth="1"/>
    <col min="9212" max="9212" width="11.453125" style="47" customWidth="1"/>
    <col min="9213" max="9213" width="26.54296875" style="47" customWidth="1"/>
    <col min="9214" max="9214" width="25" style="47" customWidth="1"/>
    <col min="9215" max="9215" width="20.54296875" style="47" customWidth="1"/>
    <col min="9216" max="9216" width="23.54296875" style="47" bestFit="1" customWidth="1"/>
    <col min="9217" max="9217" width="19.81640625" style="47" customWidth="1"/>
    <col min="9218" max="9218" width="24.453125" style="47" customWidth="1"/>
    <col min="9219" max="9219" width="20.453125" style="47" bestFit="1" customWidth="1"/>
    <col min="9220" max="9220" width="14.81640625" style="47" customWidth="1"/>
    <col min="9221" max="9466" width="9.1796875" style="47"/>
    <col min="9467" max="9467" width="4.7265625" style="47" customWidth="1"/>
    <col min="9468" max="9468" width="11.453125" style="47" customWidth="1"/>
    <col min="9469" max="9469" width="26.54296875" style="47" customWidth="1"/>
    <col min="9470" max="9470" width="25" style="47" customWidth="1"/>
    <col min="9471" max="9471" width="20.54296875" style="47" customWidth="1"/>
    <col min="9472" max="9472" width="23.54296875" style="47" bestFit="1" customWidth="1"/>
    <col min="9473" max="9473" width="19.81640625" style="47" customWidth="1"/>
    <col min="9474" max="9474" width="24.453125" style="47" customWidth="1"/>
    <col min="9475" max="9475" width="20.453125" style="47" bestFit="1" customWidth="1"/>
    <col min="9476" max="9476" width="14.81640625" style="47" customWidth="1"/>
    <col min="9477" max="9722" width="9.1796875" style="47"/>
    <col min="9723" max="9723" width="4.7265625" style="47" customWidth="1"/>
    <col min="9724" max="9724" width="11.453125" style="47" customWidth="1"/>
    <col min="9725" max="9725" width="26.54296875" style="47" customWidth="1"/>
    <col min="9726" max="9726" width="25" style="47" customWidth="1"/>
    <col min="9727" max="9727" width="20.54296875" style="47" customWidth="1"/>
    <col min="9728" max="9728" width="23.54296875" style="47" bestFit="1" customWidth="1"/>
    <col min="9729" max="9729" width="19.81640625" style="47" customWidth="1"/>
    <col min="9730" max="9730" width="24.453125" style="47" customWidth="1"/>
    <col min="9731" max="9731" width="20.453125" style="47" bestFit="1" customWidth="1"/>
    <col min="9732" max="9732" width="14.81640625" style="47" customWidth="1"/>
    <col min="9733" max="9978" width="9.1796875" style="47"/>
    <col min="9979" max="9979" width="4.7265625" style="47" customWidth="1"/>
    <col min="9980" max="9980" width="11.453125" style="47" customWidth="1"/>
    <col min="9981" max="9981" width="26.54296875" style="47" customWidth="1"/>
    <col min="9982" max="9982" width="25" style="47" customWidth="1"/>
    <col min="9983" max="9983" width="20.54296875" style="47" customWidth="1"/>
    <col min="9984" max="9984" width="23.54296875" style="47" bestFit="1" customWidth="1"/>
    <col min="9985" max="9985" width="19.81640625" style="47" customWidth="1"/>
    <col min="9986" max="9986" width="24.453125" style="47" customWidth="1"/>
    <col min="9987" max="9987" width="20.453125" style="47" bestFit="1" customWidth="1"/>
    <col min="9988" max="9988" width="14.81640625" style="47" customWidth="1"/>
    <col min="9989" max="10234" width="9.1796875" style="47"/>
    <col min="10235" max="10235" width="4.7265625" style="47" customWidth="1"/>
    <col min="10236" max="10236" width="11.453125" style="47" customWidth="1"/>
    <col min="10237" max="10237" width="26.54296875" style="47" customWidth="1"/>
    <col min="10238" max="10238" width="25" style="47" customWidth="1"/>
    <col min="10239" max="10239" width="20.54296875" style="47" customWidth="1"/>
    <col min="10240" max="10240" width="23.54296875" style="47" bestFit="1" customWidth="1"/>
    <col min="10241" max="10241" width="19.81640625" style="47" customWidth="1"/>
    <col min="10242" max="10242" width="24.453125" style="47" customWidth="1"/>
    <col min="10243" max="10243" width="20.453125" style="47" bestFit="1" customWidth="1"/>
    <col min="10244" max="10244" width="14.81640625" style="47" customWidth="1"/>
    <col min="10245" max="10490" width="9.1796875" style="47"/>
    <col min="10491" max="10491" width="4.7265625" style="47" customWidth="1"/>
    <col min="10492" max="10492" width="11.453125" style="47" customWidth="1"/>
    <col min="10493" max="10493" width="26.54296875" style="47" customWidth="1"/>
    <col min="10494" max="10494" width="25" style="47" customWidth="1"/>
    <col min="10495" max="10495" width="20.54296875" style="47" customWidth="1"/>
    <col min="10496" max="10496" width="23.54296875" style="47" bestFit="1" customWidth="1"/>
    <col min="10497" max="10497" width="19.81640625" style="47" customWidth="1"/>
    <col min="10498" max="10498" width="24.453125" style="47" customWidth="1"/>
    <col min="10499" max="10499" width="20.453125" style="47" bestFit="1" customWidth="1"/>
    <col min="10500" max="10500" width="14.81640625" style="47" customWidth="1"/>
    <col min="10501" max="10746" width="9.1796875" style="47"/>
    <col min="10747" max="10747" width="4.7265625" style="47" customWidth="1"/>
    <col min="10748" max="10748" width="11.453125" style="47" customWidth="1"/>
    <col min="10749" max="10749" width="26.54296875" style="47" customWidth="1"/>
    <col min="10750" max="10750" width="25" style="47" customWidth="1"/>
    <col min="10751" max="10751" width="20.54296875" style="47" customWidth="1"/>
    <col min="10752" max="10752" width="23.54296875" style="47" bestFit="1" customWidth="1"/>
    <col min="10753" max="10753" width="19.81640625" style="47" customWidth="1"/>
    <col min="10754" max="10754" width="24.453125" style="47" customWidth="1"/>
    <col min="10755" max="10755" width="20.453125" style="47" bestFit="1" customWidth="1"/>
    <col min="10756" max="10756" width="14.81640625" style="47" customWidth="1"/>
    <col min="10757" max="11002" width="9.1796875" style="47"/>
    <col min="11003" max="11003" width="4.7265625" style="47" customWidth="1"/>
    <col min="11004" max="11004" width="11.453125" style="47" customWidth="1"/>
    <col min="11005" max="11005" width="26.54296875" style="47" customWidth="1"/>
    <col min="11006" max="11006" width="25" style="47" customWidth="1"/>
    <col min="11007" max="11007" width="20.54296875" style="47" customWidth="1"/>
    <col min="11008" max="11008" width="23.54296875" style="47" bestFit="1" customWidth="1"/>
    <col min="11009" max="11009" width="19.81640625" style="47" customWidth="1"/>
    <col min="11010" max="11010" width="24.453125" style="47" customWidth="1"/>
    <col min="11011" max="11011" width="20.453125" style="47" bestFit="1" customWidth="1"/>
    <col min="11012" max="11012" width="14.81640625" style="47" customWidth="1"/>
    <col min="11013" max="11258" width="9.1796875" style="47"/>
    <col min="11259" max="11259" width="4.7265625" style="47" customWidth="1"/>
    <col min="11260" max="11260" width="11.453125" style="47" customWidth="1"/>
    <col min="11261" max="11261" width="26.54296875" style="47" customWidth="1"/>
    <col min="11262" max="11262" width="25" style="47" customWidth="1"/>
    <col min="11263" max="11263" width="20.54296875" style="47" customWidth="1"/>
    <col min="11264" max="11264" width="23.54296875" style="47" bestFit="1" customWidth="1"/>
    <col min="11265" max="11265" width="19.81640625" style="47" customWidth="1"/>
    <col min="11266" max="11266" width="24.453125" style="47" customWidth="1"/>
    <col min="11267" max="11267" width="20.453125" style="47" bestFit="1" customWidth="1"/>
    <col min="11268" max="11268" width="14.81640625" style="47" customWidth="1"/>
    <col min="11269" max="11514" width="9.1796875" style="47"/>
    <col min="11515" max="11515" width="4.7265625" style="47" customWidth="1"/>
    <col min="11516" max="11516" width="11.453125" style="47" customWidth="1"/>
    <col min="11517" max="11517" width="26.54296875" style="47" customWidth="1"/>
    <col min="11518" max="11518" width="25" style="47" customWidth="1"/>
    <col min="11519" max="11519" width="20.54296875" style="47" customWidth="1"/>
    <col min="11520" max="11520" width="23.54296875" style="47" bestFit="1" customWidth="1"/>
    <col min="11521" max="11521" width="19.81640625" style="47" customWidth="1"/>
    <col min="11522" max="11522" width="24.453125" style="47" customWidth="1"/>
    <col min="11523" max="11523" width="20.453125" style="47" bestFit="1" customWidth="1"/>
    <col min="11524" max="11524" width="14.81640625" style="47" customWidth="1"/>
    <col min="11525" max="11770" width="9.1796875" style="47"/>
    <col min="11771" max="11771" width="4.7265625" style="47" customWidth="1"/>
    <col min="11772" max="11772" width="11.453125" style="47" customWidth="1"/>
    <col min="11773" max="11773" width="26.54296875" style="47" customWidth="1"/>
    <col min="11774" max="11774" width="25" style="47" customWidth="1"/>
    <col min="11775" max="11775" width="20.54296875" style="47" customWidth="1"/>
    <col min="11776" max="11776" width="23.54296875" style="47" bestFit="1" customWidth="1"/>
    <col min="11777" max="11777" width="19.81640625" style="47" customWidth="1"/>
    <col min="11778" max="11778" width="24.453125" style="47" customWidth="1"/>
    <col min="11779" max="11779" width="20.453125" style="47" bestFit="1" customWidth="1"/>
    <col min="11780" max="11780" width="14.81640625" style="47" customWidth="1"/>
    <col min="11781" max="12026" width="9.1796875" style="47"/>
    <col min="12027" max="12027" width="4.7265625" style="47" customWidth="1"/>
    <col min="12028" max="12028" width="11.453125" style="47" customWidth="1"/>
    <col min="12029" max="12029" width="26.54296875" style="47" customWidth="1"/>
    <col min="12030" max="12030" width="25" style="47" customWidth="1"/>
    <col min="12031" max="12031" width="20.54296875" style="47" customWidth="1"/>
    <col min="12032" max="12032" width="23.54296875" style="47" bestFit="1" customWidth="1"/>
    <col min="12033" max="12033" width="19.81640625" style="47" customWidth="1"/>
    <col min="12034" max="12034" width="24.453125" style="47" customWidth="1"/>
    <col min="12035" max="12035" width="20.453125" style="47" bestFit="1" customWidth="1"/>
    <col min="12036" max="12036" width="14.81640625" style="47" customWidth="1"/>
    <col min="12037" max="12282" width="9.1796875" style="47"/>
    <col min="12283" max="12283" width="4.7265625" style="47" customWidth="1"/>
    <col min="12284" max="12284" width="11.453125" style="47" customWidth="1"/>
    <col min="12285" max="12285" width="26.54296875" style="47" customWidth="1"/>
    <col min="12286" max="12286" width="25" style="47" customWidth="1"/>
    <col min="12287" max="12287" width="20.54296875" style="47" customWidth="1"/>
    <col min="12288" max="12288" width="23.54296875" style="47" bestFit="1" customWidth="1"/>
    <col min="12289" max="12289" width="19.81640625" style="47" customWidth="1"/>
    <col min="12290" max="12290" width="24.453125" style="47" customWidth="1"/>
    <col min="12291" max="12291" width="20.453125" style="47" bestFit="1" customWidth="1"/>
    <col min="12292" max="12292" width="14.81640625" style="47" customWidth="1"/>
    <col min="12293" max="12538" width="9.1796875" style="47"/>
    <col min="12539" max="12539" width="4.7265625" style="47" customWidth="1"/>
    <col min="12540" max="12540" width="11.453125" style="47" customWidth="1"/>
    <col min="12541" max="12541" width="26.54296875" style="47" customWidth="1"/>
    <col min="12542" max="12542" width="25" style="47" customWidth="1"/>
    <col min="12543" max="12543" width="20.54296875" style="47" customWidth="1"/>
    <col min="12544" max="12544" width="23.54296875" style="47" bestFit="1" customWidth="1"/>
    <col min="12545" max="12545" width="19.81640625" style="47" customWidth="1"/>
    <col min="12546" max="12546" width="24.453125" style="47" customWidth="1"/>
    <col min="12547" max="12547" width="20.453125" style="47" bestFit="1" customWidth="1"/>
    <col min="12548" max="12548" width="14.81640625" style="47" customWidth="1"/>
    <col min="12549" max="12794" width="9.1796875" style="47"/>
    <col min="12795" max="12795" width="4.7265625" style="47" customWidth="1"/>
    <col min="12796" max="12796" width="11.453125" style="47" customWidth="1"/>
    <col min="12797" max="12797" width="26.54296875" style="47" customWidth="1"/>
    <col min="12798" max="12798" width="25" style="47" customWidth="1"/>
    <col min="12799" max="12799" width="20.54296875" style="47" customWidth="1"/>
    <col min="12800" max="12800" width="23.54296875" style="47" bestFit="1" customWidth="1"/>
    <col min="12801" max="12801" width="19.81640625" style="47" customWidth="1"/>
    <col min="12802" max="12802" width="24.453125" style="47" customWidth="1"/>
    <col min="12803" max="12803" width="20.453125" style="47" bestFit="1" customWidth="1"/>
    <col min="12804" max="12804" width="14.81640625" style="47" customWidth="1"/>
    <col min="12805" max="13050" width="9.1796875" style="47"/>
    <col min="13051" max="13051" width="4.7265625" style="47" customWidth="1"/>
    <col min="13052" max="13052" width="11.453125" style="47" customWidth="1"/>
    <col min="13053" max="13053" width="26.54296875" style="47" customWidth="1"/>
    <col min="13054" max="13054" width="25" style="47" customWidth="1"/>
    <col min="13055" max="13055" width="20.54296875" style="47" customWidth="1"/>
    <col min="13056" max="13056" width="23.54296875" style="47" bestFit="1" customWidth="1"/>
    <col min="13057" max="13057" width="19.81640625" style="47" customWidth="1"/>
    <col min="13058" max="13058" width="24.453125" style="47" customWidth="1"/>
    <col min="13059" max="13059" width="20.453125" style="47" bestFit="1" customWidth="1"/>
    <col min="13060" max="13060" width="14.81640625" style="47" customWidth="1"/>
    <col min="13061" max="13306" width="9.1796875" style="47"/>
    <col min="13307" max="13307" width="4.7265625" style="47" customWidth="1"/>
    <col min="13308" max="13308" width="11.453125" style="47" customWidth="1"/>
    <col min="13309" max="13309" width="26.54296875" style="47" customWidth="1"/>
    <col min="13310" max="13310" width="25" style="47" customWidth="1"/>
    <col min="13311" max="13311" width="20.54296875" style="47" customWidth="1"/>
    <col min="13312" max="13312" width="23.54296875" style="47" bestFit="1" customWidth="1"/>
    <col min="13313" max="13313" width="19.81640625" style="47" customWidth="1"/>
    <col min="13314" max="13314" width="24.453125" style="47" customWidth="1"/>
    <col min="13315" max="13315" width="20.453125" style="47" bestFit="1" customWidth="1"/>
    <col min="13316" max="13316" width="14.81640625" style="47" customWidth="1"/>
    <col min="13317" max="13562" width="9.1796875" style="47"/>
    <col min="13563" max="13563" width="4.7265625" style="47" customWidth="1"/>
    <col min="13564" max="13564" width="11.453125" style="47" customWidth="1"/>
    <col min="13565" max="13565" width="26.54296875" style="47" customWidth="1"/>
    <col min="13566" max="13566" width="25" style="47" customWidth="1"/>
    <col min="13567" max="13567" width="20.54296875" style="47" customWidth="1"/>
    <col min="13568" max="13568" width="23.54296875" style="47" bestFit="1" customWidth="1"/>
    <col min="13569" max="13569" width="19.81640625" style="47" customWidth="1"/>
    <col min="13570" max="13570" width="24.453125" style="47" customWidth="1"/>
    <col min="13571" max="13571" width="20.453125" style="47" bestFit="1" customWidth="1"/>
    <col min="13572" max="13572" width="14.81640625" style="47" customWidth="1"/>
    <col min="13573" max="13818" width="9.1796875" style="47"/>
    <col min="13819" max="13819" width="4.7265625" style="47" customWidth="1"/>
    <col min="13820" max="13820" width="11.453125" style="47" customWidth="1"/>
    <col min="13821" max="13821" width="26.54296875" style="47" customWidth="1"/>
    <col min="13822" max="13822" width="25" style="47" customWidth="1"/>
    <col min="13823" max="13823" width="20.54296875" style="47" customWidth="1"/>
    <col min="13824" max="13824" width="23.54296875" style="47" bestFit="1" customWidth="1"/>
    <col min="13825" max="13825" width="19.81640625" style="47" customWidth="1"/>
    <col min="13826" max="13826" width="24.453125" style="47" customWidth="1"/>
    <col min="13827" max="13827" width="20.453125" style="47" bestFit="1" customWidth="1"/>
    <col min="13828" max="13828" width="14.81640625" style="47" customWidth="1"/>
    <col min="13829" max="14074" width="9.1796875" style="47"/>
    <col min="14075" max="14075" width="4.7265625" style="47" customWidth="1"/>
    <col min="14076" max="14076" width="11.453125" style="47" customWidth="1"/>
    <col min="14077" max="14077" width="26.54296875" style="47" customWidth="1"/>
    <col min="14078" max="14078" width="25" style="47" customWidth="1"/>
    <col min="14079" max="14079" width="20.54296875" style="47" customWidth="1"/>
    <col min="14080" max="14080" width="23.54296875" style="47" bestFit="1" customWidth="1"/>
    <col min="14081" max="14081" width="19.81640625" style="47" customWidth="1"/>
    <col min="14082" max="14082" width="24.453125" style="47" customWidth="1"/>
    <col min="14083" max="14083" width="20.453125" style="47" bestFit="1" customWidth="1"/>
    <col min="14084" max="14084" width="14.81640625" style="47" customWidth="1"/>
    <col min="14085" max="14330" width="9.1796875" style="47"/>
    <col min="14331" max="14331" width="4.7265625" style="47" customWidth="1"/>
    <col min="14332" max="14332" width="11.453125" style="47" customWidth="1"/>
    <col min="14333" max="14333" width="26.54296875" style="47" customWidth="1"/>
    <col min="14334" max="14334" width="25" style="47" customWidth="1"/>
    <col min="14335" max="14335" width="20.54296875" style="47" customWidth="1"/>
    <col min="14336" max="14336" width="23.54296875" style="47" bestFit="1" customWidth="1"/>
    <col min="14337" max="14337" width="19.81640625" style="47" customWidth="1"/>
    <col min="14338" max="14338" width="24.453125" style="47" customWidth="1"/>
    <col min="14339" max="14339" width="20.453125" style="47" bestFit="1" customWidth="1"/>
    <col min="14340" max="14340" width="14.81640625" style="47" customWidth="1"/>
    <col min="14341" max="14586" width="9.1796875" style="47"/>
    <col min="14587" max="14587" width="4.7265625" style="47" customWidth="1"/>
    <col min="14588" max="14588" width="11.453125" style="47" customWidth="1"/>
    <col min="14589" max="14589" width="26.54296875" style="47" customWidth="1"/>
    <col min="14590" max="14590" width="25" style="47" customWidth="1"/>
    <col min="14591" max="14591" width="20.54296875" style="47" customWidth="1"/>
    <col min="14592" max="14592" width="23.54296875" style="47" bestFit="1" customWidth="1"/>
    <col min="14593" max="14593" width="19.81640625" style="47" customWidth="1"/>
    <col min="14594" max="14594" width="24.453125" style="47" customWidth="1"/>
    <col min="14595" max="14595" width="20.453125" style="47" bestFit="1" customWidth="1"/>
    <col min="14596" max="14596" width="14.81640625" style="47" customWidth="1"/>
    <col min="14597" max="14842" width="9.1796875" style="47"/>
    <col min="14843" max="14843" width="4.7265625" style="47" customWidth="1"/>
    <col min="14844" max="14844" width="11.453125" style="47" customWidth="1"/>
    <col min="14845" max="14845" width="26.54296875" style="47" customWidth="1"/>
    <col min="14846" max="14846" width="25" style="47" customWidth="1"/>
    <col min="14847" max="14847" width="20.54296875" style="47" customWidth="1"/>
    <col min="14848" max="14848" width="23.54296875" style="47" bestFit="1" customWidth="1"/>
    <col min="14849" max="14849" width="19.81640625" style="47" customWidth="1"/>
    <col min="14850" max="14850" width="24.453125" style="47" customWidth="1"/>
    <col min="14851" max="14851" width="20.453125" style="47" bestFit="1" customWidth="1"/>
    <col min="14852" max="14852" width="14.81640625" style="47" customWidth="1"/>
    <col min="14853" max="15098" width="9.1796875" style="47"/>
    <col min="15099" max="15099" width="4.7265625" style="47" customWidth="1"/>
    <col min="15100" max="15100" width="11.453125" style="47" customWidth="1"/>
    <col min="15101" max="15101" width="26.54296875" style="47" customWidth="1"/>
    <col min="15102" max="15102" width="25" style="47" customWidth="1"/>
    <col min="15103" max="15103" width="20.54296875" style="47" customWidth="1"/>
    <col min="15104" max="15104" width="23.54296875" style="47" bestFit="1" customWidth="1"/>
    <col min="15105" max="15105" width="19.81640625" style="47" customWidth="1"/>
    <col min="15106" max="15106" width="24.453125" style="47" customWidth="1"/>
    <col min="15107" max="15107" width="20.453125" style="47" bestFit="1" customWidth="1"/>
    <col min="15108" max="15108" width="14.81640625" style="47" customWidth="1"/>
    <col min="15109" max="15354" width="9.1796875" style="47"/>
    <col min="15355" max="15355" width="4.7265625" style="47" customWidth="1"/>
    <col min="15356" max="15356" width="11.453125" style="47" customWidth="1"/>
    <col min="15357" max="15357" width="26.54296875" style="47" customWidth="1"/>
    <col min="15358" max="15358" width="25" style="47" customWidth="1"/>
    <col min="15359" max="15359" width="20.54296875" style="47" customWidth="1"/>
    <col min="15360" max="15360" width="23.54296875" style="47" bestFit="1" customWidth="1"/>
    <col min="15361" max="15361" width="19.81640625" style="47" customWidth="1"/>
    <col min="15362" max="15362" width="24.453125" style="47" customWidth="1"/>
    <col min="15363" max="15363" width="20.453125" style="47" bestFit="1" customWidth="1"/>
    <col min="15364" max="15364" width="14.81640625" style="47" customWidth="1"/>
    <col min="15365" max="15610" width="9.1796875" style="47"/>
    <col min="15611" max="15611" width="4.7265625" style="47" customWidth="1"/>
    <col min="15612" max="15612" width="11.453125" style="47" customWidth="1"/>
    <col min="15613" max="15613" width="26.54296875" style="47" customWidth="1"/>
    <col min="15614" max="15614" width="25" style="47" customWidth="1"/>
    <col min="15615" max="15615" width="20.54296875" style="47" customWidth="1"/>
    <col min="15616" max="15616" width="23.54296875" style="47" bestFit="1" customWidth="1"/>
    <col min="15617" max="15617" width="19.81640625" style="47" customWidth="1"/>
    <col min="15618" max="15618" width="24.453125" style="47" customWidth="1"/>
    <col min="15619" max="15619" width="20.453125" style="47" bestFit="1" customWidth="1"/>
    <col min="15620" max="15620" width="14.81640625" style="47" customWidth="1"/>
    <col min="15621" max="15866" width="9.1796875" style="47"/>
    <col min="15867" max="15867" width="4.7265625" style="47" customWidth="1"/>
    <col min="15868" max="15868" width="11.453125" style="47" customWidth="1"/>
    <col min="15869" max="15869" width="26.54296875" style="47" customWidth="1"/>
    <col min="15870" max="15870" width="25" style="47" customWidth="1"/>
    <col min="15871" max="15871" width="20.54296875" style="47" customWidth="1"/>
    <col min="15872" max="15872" width="23.54296875" style="47" bestFit="1" customWidth="1"/>
    <col min="15873" max="15873" width="19.81640625" style="47" customWidth="1"/>
    <col min="15874" max="15874" width="24.453125" style="47" customWidth="1"/>
    <col min="15875" max="15875" width="20.453125" style="47" bestFit="1" customWidth="1"/>
    <col min="15876" max="15876" width="14.81640625" style="47" customWidth="1"/>
    <col min="15877" max="16122" width="9.1796875" style="47"/>
    <col min="16123" max="16123" width="4.7265625" style="47" customWidth="1"/>
    <col min="16124" max="16124" width="11.453125" style="47" customWidth="1"/>
    <col min="16125" max="16125" width="26.54296875" style="47" customWidth="1"/>
    <col min="16126" max="16126" width="25" style="47" customWidth="1"/>
    <col min="16127" max="16127" width="20.54296875" style="47" customWidth="1"/>
    <col min="16128" max="16128" width="23.54296875" style="47" bestFit="1" customWidth="1"/>
    <col min="16129" max="16129" width="19.81640625" style="47" customWidth="1"/>
    <col min="16130" max="16130" width="24.453125" style="47" customWidth="1"/>
    <col min="16131" max="16131" width="20.453125" style="47" bestFit="1" customWidth="1"/>
    <col min="16132" max="16132" width="14.81640625" style="47" customWidth="1"/>
    <col min="16133" max="16384" width="9.1796875" style="47"/>
  </cols>
  <sheetData>
    <row r="1" spans="1:12" ht="24" customHeight="1" x14ac:dyDescent="0.35">
      <c r="A1" s="72" t="s">
        <v>126</v>
      </c>
      <c r="B1" s="71"/>
      <c r="C1" s="70"/>
      <c r="D1" s="69"/>
      <c r="F1" s="72" t="s">
        <v>106</v>
      </c>
      <c r="G1" s="71"/>
      <c r="H1" s="70"/>
      <c r="I1" s="69"/>
      <c r="K1" s="89" t="s">
        <v>222</v>
      </c>
    </row>
    <row r="2" spans="1:12" x14ac:dyDescent="0.35">
      <c r="A2" s="61"/>
      <c r="B2" s="84" t="s">
        <v>74</v>
      </c>
      <c r="C2" s="48" t="s">
        <v>111</v>
      </c>
      <c r="D2" s="73"/>
      <c r="F2" s="68" t="s">
        <v>105</v>
      </c>
      <c r="G2" s="67" t="s">
        <v>104</v>
      </c>
      <c r="H2" s="67" t="s">
        <v>103</v>
      </c>
      <c r="I2" s="66" t="s">
        <v>102</v>
      </c>
      <c r="K2" s="84" t="s">
        <v>74</v>
      </c>
      <c r="L2" s="84" t="s">
        <v>127</v>
      </c>
    </row>
    <row r="3" spans="1:12" x14ac:dyDescent="0.35">
      <c r="A3" s="61"/>
      <c r="B3" s="88" t="s">
        <v>125</v>
      </c>
      <c r="C3" s="82">
        <f>COUNTIF(B3:B9,"Sa*")</f>
        <v>4</v>
      </c>
      <c r="D3" s="73"/>
      <c r="F3" s="65">
        <v>78.599999999999994</v>
      </c>
      <c r="G3" s="188">
        <v>0.68200000000000005</v>
      </c>
      <c r="H3" s="64">
        <v>0.65</v>
      </c>
      <c r="I3" s="62">
        <f>AVERAGEA(F3:H3)</f>
        <v>26.644000000000002</v>
      </c>
      <c r="K3" s="88" t="s">
        <v>125</v>
      </c>
      <c r="L3" s="91">
        <f>ROW(L1)</f>
        <v>1</v>
      </c>
    </row>
    <row r="4" spans="1:12" x14ac:dyDescent="0.35">
      <c r="A4" s="61"/>
      <c r="B4" s="86" t="s">
        <v>124</v>
      </c>
      <c r="D4" s="73"/>
      <c r="K4" s="86" t="s">
        <v>124</v>
      </c>
      <c r="L4" s="91">
        <f t="shared" ref="L4:L9" si="0">ROW(L2)</f>
        <v>2</v>
      </c>
    </row>
    <row r="5" spans="1:12" x14ac:dyDescent="0.35">
      <c r="A5" s="61"/>
      <c r="B5" s="86" t="s">
        <v>123</v>
      </c>
      <c r="D5" s="73"/>
      <c r="K5" s="86"/>
      <c r="L5" s="91">
        <f t="shared" si="0"/>
        <v>3</v>
      </c>
    </row>
    <row r="6" spans="1:12" x14ac:dyDescent="0.35">
      <c r="A6" s="61"/>
      <c r="B6" s="86" t="s">
        <v>121</v>
      </c>
      <c r="D6" s="73"/>
      <c r="K6" s="86" t="s">
        <v>121</v>
      </c>
      <c r="L6" s="91">
        <f t="shared" si="0"/>
        <v>4</v>
      </c>
    </row>
    <row r="7" spans="1:12" x14ac:dyDescent="0.35">
      <c r="A7" s="61"/>
      <c r="B7" s="86" t="s">
        <v>120</v>
      </c>
      <c r="C7" s="87"/>
      <c r="D7" s="73"/>
      <c r="K7" s="86" t="s">
        <v>120</v>
      </c>
      <c r="L7" s="91">
        <f t="shared" si="0"/>
        <v>5</v>
      </c>
    </row>
    <row r="8" spans="1:12" x14ac:dyDescent="0.35">
      <c r="A8" s="61"/>
      <c r="B8" s="86" t="s">
        <v>119</v>
      </c>
      <c r="D8" s="73"/>
      <c r="K8" s="86" t="s">
        <v>119</v>
      </c>
      <c r="L8" s="91">
        <f t="shared" si="0"/>
        <v>6</v>
      </c>
    </row>
    <row r="9" spans="1:12" ht="15" thickBot="1" x14ac:dyDescent="0.4">
      <c r="A9" s="61"/>
      <c r="B9" s="85" t="s">
        <v>117</v>
      </c>
      <c r="D9" s="73"/>
      <c r="K9" s="85" t="s">
        <v>117</v>
      </c>
      <c r="L9" s="91">
        <f t="shared" si="0"/>
        <v>7</v>
      </c>
    </row>
    <row r="10" spans="1:12" ht="15" thickBot="1" x14ac:dyDescent="0.4">
      <c r="A10" s="61"/>
      <c r="D10" s="73"/>
      <c r="F10" s="72" t="s">
        <v>101</v>
      </c>
      <c r="G10" s="117"/>
      <c r="H10" s="70"/>
      <c r="I10" s="118"/>
    </row>
    <row r="11" spans="1:12" x14ac:dyDescent="0.35">
      <c r="A11" s="72" t="s">
        <v>116</v>
      </c>
      <c r="B11" s="71"/>
      <c r="C11" s="70"/>
      <c r="D11" s="69"/>
      <c r="F11" s="61"/>
      <c r="G11" s="60"/>
      <c r="H11" s="48"/>
      <c r="I11" s="119" t="s">
        <v>100</v>
      </c>
    </row>
    <row r="12" spans="1:12" x14ac:dyDescent="0.35">
      <c r="A12" s="63"/>
      <c r="D12" s="73"/>
      <c r="F12" s="216" t="s">
        <v>99</v>
      </c>
      <c r="G12" s="217"/>
      <c r="H12" s="218"/>
      <c r="I12" s="189">
        <f>COUNTIF($G$17:$I$20,"&lt;=4000")</f>
        <v>4</v>
      </c>
    </row>
    <row r="13" spans="1:12" x14ac:dyDescent="0.35">
      <c r="A13" s="61"/>
      <c r="B13" s="84" t="s">
        <v>115</v>
      </c>
      <c r="C13" s="48" t="s">
        <v>111</v>
      </c>
      <c r="D13" s="73"/>
      <c r="F13" s="216" t="s">
        <v>98</v>
      </c>
      <c r="G13" s="217"/>
      <c r="H13" s="218"/>
      <c r="I13" s="189">
        <f>COUNTIFS($G$17:$I$20,"&gt;=4000",$G$17:$I$20,"&lt;=6000")</f>
        <v>6</v>
      </c>
    </row>
    <row r="14" spans="1:12" x14ac:dyDescent="0.35">
      <c r="A14" s="61"/>
      <c r="B14" s="83">
        <v>91.67</v>
      </c>
      <c r="C14" s="82">
        <f>COUNTIFS(B14:B25,"&gt;=95",B14:B25,"&lt;=99")</f>
        <v>7</v>
      </c>
      <c r="D14" s="73"/>
      <c r="F14" s="216" t="s">
        <v>97</v>
      </c>
      <c r="G14" s="217"/>
      <c r="H14" s="218"/>
      <c r="I14" s="189">
        <f>COUNTIF($G$17:$I$20,"&gt;=6000")</f>
        <v>5</v>
      </c>
    </row>
    <row r="15" spans="1:12" x14ac:dyDescent="0.35">
      <c r="A15" s="61"/>
      <c r="B15" s="81">
        <v>98.89</v>
      </c>
      <c r="D15" s="73"/>
      <c r="F15" s="61"/>
      <c r="G15" s="60"/>
      <c r="H15" s="48"/>
      <c r="I15" s="59"/>
    </row>
    <row r="16" spans="1:12" x14ac:dyDescent="0.35">
      <c r="A16" s="61"/>
      <c r="B16" s="81">
        <v>95.1</v>
      </c>
      <c r="D16" s="73"/>
      <c r="F16" s="58" t="s">
        <v>25</v>
      </c>
      <c r="G16" s="57" t="s">
        <v>26</v>
      </c>
      <c r="H16" s="57" t="s">
        <v>27</v>
      </c>
      <c r="I16" s="56" t="s">
        <v>28</v>
      </c>
    </row>
    <row r="17" spans="1:9" x14ac:dyDescent="0.35">
      <c r="A17" s="61"/>
      <c r="B17" s="81">
        <v>97.5</v>
      </c>
      <c r="D17" s="73"/>
      <c r="F17" s="55" t="s">
        <v>29</v>
      </c>
      <c r="G17" s="54">
        <v>5000</v>
      </c>
      <c r="H17" s="54">
        <v>6000</v>
      </c>
      <c r="I17" s="53">
        <v>4500</v>
      </c>
    </row>
    <row r="18" spans="1:9" x14ac:dyDescent="0.35">
      <c r="A18" s="61"/>
      <c r="B18" s="81">
        <v>95.4</v>
      </c>
      <c r="D18" s="73"/>
      <c r="F18" s="55" t="s">
        <v>30</v>
      </c>
      <c r="G18" s="54">
        <v>5800</v>
      </c>
      <c r="H18" s="54">
        <v>7000</v>
      </c>
      <c r="I18" s="53">
        <v>3000</v>
      </c>
    </row>
    <row r="19" spans="1:9" x14ac:dyDescent="0.35">
      <c r="A19" s="61"/>
      <c r="B19" s="81">
        <v>94.5</v>
      </c>
      <c r="D19" s="73"/>
      <c r="F19" s="55" t="s">
        <v>31</v>
      </c>
      <c r="G19" s="54">
        <v>3500</v>
      </c>
      <c r="H19" s="54">
        <v>2000</v>
      </c>
      <c r="I19" s="53">
        <v>10000</v>
      </c>
    </row>
    <row r="20" spans="1:9" ht="15" thickBot="1" x14ac:dyDescent="0.4">
      <c r="A20" s="61"/>
      <c r="B20" s="81">
        <v>93.5</v>
      </c>
      <c r="D20" s="73"/>
      <c r="F20" s="52" t="s">
        <v>32</v>
      </c>
      <c r="G20" s="51">
        <v>12000</v>
      </c>
      <c r="H20" s="51">
        <v>4000</v>
      </c>
      <c r="I20" s="50">
        <v>6000</v>
      </c>
    </row>
    <row r="21" spans="1:9" x14ac:dyDescent="0.35">
      <c r="A21" s="61"/>
      <c r="B21" s="81">
        <v>96</v>
      </c>
      <c r="D21" s="73"/>
    </row>
    <row r="22" spans="1:9" x14ac:dyDescent="0.35">
      <c r="A22" s="61"/>
      <c r="B22" s="81">
        <v>95.01</v>
      </c>
      <c r="D22" s="73"/>
    </row>
    <row r="23" spans="1:9" x14ac:dyDescent="0.35">
      <c r="A23" s="61"/>
      <c r="B23" s="81">
        <v>95</v>
      </c>
      <c r="D23" s="73"/>
    </row>
    <row r="24" spans="1:9" x14ac:dyDescent="0.35">
      <c r="A24" s="61"/>
      <c r="B24" s="81">
        <v>99.5</v>
      </c>
      <c r="D24" s="73"/>
    </row>
    <row r="25" spans="1:9" x14ac:dyDescent="0.35">
      <c r="A25" s="61"/>
      <c r="B25" s="80">
        <v>92</v>
      </c>
      <c r="D25" s="73"/>
    </row>
    <row r="26" spans="1:9" ht="15" thickBot="1" x14ac:dyDescent="0.4">
      <c r="A26" s="61"/>
      <c r="D26" s="73"/>
    </row>
    <row r="27" spans="1:9" x14ac:dyDescent="0.35">
      <c r="A27" s="72" t="s">
        <v>113</v>
      </c>
      <c r="B27" s="71"/>
      <c r="C27" s="70"/>
      <c r="D27" s="69"/>
    </row>
    <row r="28" spans="1:9" x14ac:dyDescent="0.35">
      <c r="A28" s="63"/>
      <c r="D28" s="73"/>
    </row>
    <row r="29" spans="1:9" x14ac:dyDescent="0.35">
      <c r="A29" s="61"/>
      <c r="B29" s="79" t="s">
        <v>74</v>
      </c>
      <c r="C29" s="79" t="s">
        <v>112</v>
      </c>
      <c r="D29" s="78" t="s">
        <v>111</v>
      </c>
    </row>
    <row r="30" spans="1:9" x14ac:dyDescent="0.35">
      <c r="A30" s="61"/>
      <c r="B30" s="77" t="s">
        <v>108</v>
      </c>
      <c r="C30" s="77">
        <v>91</v>
      </c>
      <c r="D30" s="76">
        <f>AVERAGEIF(B30:B41,B30,C30:C41)</f>
        <v>95.9</v>
      </c>
    </row>
    <row r="31" spans="1:9" x14ac:dyDescent="0.35">
      <c r="A31" s="61"/>
      <c r="B31" s="75" t="s">
        <v>109</v>
      </c>
      <c r="C31" s="75">
        <v>98</v>
      </c>
      <c r="D31" s="73"/>
    </row>
    <row r="32" spans="1:9" x14ac:dyDescent="0.35">
      <c r="A32" s="61"/>
      <c r="B32" s="75" t="s">
        <v>109</v>
      </c>
      <c r="C32" s="75">
        <v>95.1</v>
      </c>
      <c r="D32" s="73"/>
    </row>
    <row r="33" spans="1:4" x14ac:dyDescent="0.35">
      <c r="A33" s="61"/>
      <c r="B33" s="75" t="s">
        <v>110</v>
      </c>
      <c r="C33" s="75">
        <v>95</v>
      </c>
      <c r="D33" s="73"/>
    </row>
    <row r="34" spans="1:4" x14ac:dyDescent="0.35">
      <c r="A34" s="61"/>
      <c r="B34" s="75" t="s">
        <v>110</v>
      </c>
      <c r="C34" s="75">
        <v>95.4</v>
      </c>
      <c r="D34" s="73"/>
    </row>
    <row r="35" spans="1:4" x14ac:dyDescent="0.35">
      <c r="A35" s="61"/>
      <c r="B35" s="75" t="s">
        <v>108</v>
      </c>
      <c r="C35" s="75">
        <v>94.5</v>
      </c>
      <c r="D35" s="73"/>
    </row>
    <row r="36" spans="1:4" x14ac:dyDescent="0.35">
      <c r="A36" s="61"/>
      <c r="B36" s="75" t="s">
        <v>109</v>
      </c>
      <c r="C36" s="75">
        <v>93.5</v>
      </c>
      <c r="D36" s="73"/>
    </row>
    <row r="37" spans="1:4" x14ac:dyDescent="0.35">
      <c r="A37" s="61"/>
      <c r="B37" s="75" t="s">
        <v>108</v>
      </c>
      <c r="C37" s="75">
        <v>95</v>
      </c>
      <c r="D37" s="73"/>
    </row>
    <row r="38" spans="1:4" x14ac:dyDescent="0.35">
      <c r="A38" s="61"/>
      <c r="B38" s="75" t="s">
        <v>107</v>
      </c>
      <c r="C38" s="75">
        <v>95</v>
      </c>
      <c r="D38" s="73"/>
    </row>
    <row r="39" spans="1:4" x14ac:dyDescent="0.35">
      <c r="A39" s="61"/>
      <c r="B39" s="75" t="s">
        <v>108</v>
      </c>
      <c r="C39" s="75">
        <v>99</v>
      </c>
      <c r="D39" s="73"/>
    </row>
    <row r="40" spans="1:4" x14ac:dyDescent="0.35">
      <c r="A40" s="61"/>
      <c r="B40" s="75" t="s">
        <v>108</v>
      </c>
      <c r="C40" s="75">
        <v>100</v>
      </c>
      <c r="D40" s="73"/>
    </row>
    <row r="41" spans="1:4" x14ac:dyDescent="0.35">
      <c r="A41" s="61"/>
      <c r="B41" s="74" t="s">
        <v>107</v>
      </c>
      <c r="C41" s="74">
        <v>92</v>
      </c>
      <c r="D41" s="73"/>
    </row>
    <row r="42" spans="1:4" ht="15" thickBot="1" x14ac:dyDescent="0.4">
      <c r="A42" s="120"/>
      <c r="B42" s="121"/>
      <c r="C42" s="122"/>
      <c r="D42" s="123"/>
    </row>
    <row r="43" spans="1:4" ht="23.25" customHeight="1" x14ac:dyDescent="0.35"/>
    <row r="58" spans="1:4" x14ac:dyDescent="0.35">
      <c r="A58" s="33"/>
      <c r="B58" s="49"/>
      <c r="C58" s="49"/>
      <c r="D58" s="49"/>
    </row>
  </sheetData>
  <protectedRanges>
    <protectedRange sqref="F15:I20 F10:H11 H12:H14 F12:F14 F1:I4 K2:K9 A1:D42 A58:D65 I10:I14" name="Range1_1"/>
  </protectedRanges>
  <mergeCells count="3">
    <mergeCell ref="F12:H12"/>
    <mergeCell ref="F13:H13"/>
    <mergeCell ref="F14:H14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0"/>
  </sheetPr>
  <dimension ref="A1:Q18"/>
  <sheetViews>
    <sheetView showGridLines="0" workbookViewId="0"/>
  </sheetViews>
  <sheetFormatPr defaultColWidth="9.1796875" defaultRowHeight="14.5" x14ac:dyDescent="0.35"/>
  <cols>
    <col min="1" max="1" width="9.1796875" style="22"/>
    <col min="2" max="2" width="8" style="22" bestFit="1" customWidth="1"/>
    <col min="3" max="3" width="18.453125" style="22" bestFit="1" customWidth="1"/>
    <col min="4" max="7" width="9.1796875" style="22"/>
    <col min="8" max="8" width="15.1796875" style="22" customWidth="1"/>
    <col min="9" max="9" width="13.1796875" style="22" bestFit="1" customWidth="1"/>
    <col min="10" max="10" width="4.26953125" style="22" customWidth="1"/>
    <col min="11" max="11" width="21" style="22" bestFit="1" customWidth="1"/>
    <col min="12" max="12" width="9" style="22" bestFit="1" customWidth="1"/>
    <col min="13" max="13" width="10.1796875" style="22" bestFit="1" customWidth="1"/>
    <col min="14" max="14" width="6.453125" style="22" customWidth="1"/>
    <col min="15" max="16" width="9.1796875" style="22"/>
    <col min="17" max="17" width="12.7265625" style="22" bestFit="1" customWidth="1"/>
    <col min="18" max="16384" width="9.1796875" style="22"/>
  </cols>
  <sheetData>
    <row r="1" spans="1:17" x14ac:dyDescent="0.35">
      <c r="I1" s="97" t="s">
        <v>141</v>
      </c>
      <c r="Q1" s="97" t="s">
        <v>216</v>
      </c>
    </row>
    <row r="2" spans="1:17" x14ac:dyDescent="0.3">
      <c r="A2" s="98" t="s">
        <v>128</v>
      </c>
      <c r="B2" s="98" t="s">
        <v>129</v>
      </c>
      <c r="C2" s="98" t="s">
        <v>130</v>
      </c>
      <c r="D2" s="98" t="s">
        <v>129</v>
      </c>
      <c r="E2" s="219" t="s">
        <v>215</v>
      </c>
      <c r="F2" s="220"/>
      <c r="G2" s="220"/>
      <c r="H2" s="221"/>
      <c r="I2" s="46">
        <f>SUMIF(A3:A10,A3,B3:B10)+SUMIF(C3:C10,C4,D3:D10)</f>
        <v>1160</v>
      </c>
      <c r="K2" s="115" t="s">
        <v>193</v>
      </c>
      <c r="L2" s="115" t="s">
        <v>194</v>
      </c>
      <c r="M2" s="115" t="s">
        <v>195</v>
      </c>
      <c r="N2" s="222" t="s">
        <v>214</v>
      </c>
      <c r="O2" s="223"/>
      <c r="P2" s="223"/>
      <c r="Q2" s="46">
        <f>COUNTIF(M3:M18,"P")</f>
        <v>7</v>
      </c>
    </row>
    <row r="3" spans="1:17" x14ac:dyDescent="0.3">
      <c r="A3" s="94" t="s">
        <v>131</v>
      </c>
      <c r="B3" s="95">
        <v>350</v>
      </c>
      <c r="C3" s="96" t="s">
        <v>132</v>
      </c>
      <c r="D3" s="95">
        <v>10</v>
      </c>
      <c r="K3" s="114" t="s">
        <v>196</v>
      </c>
      <c r="L3" s="114">
        <v>80272812</v>
      </c>
      <c r="M3" s="114" t="s">
        <v>122</v>
      </c>
    </row>
    <row r="4" spans="1:17" x14ac:dyDescent="0.3">
      <c r="A4" s="94" t="s">
        <v>133</v>
      </c>
      <c r="B4" s="95">
        <v>370</v>
      </c>
      <c r="C4" s="96" t="s">
        <v>134</v>
      </c>
      <c r="D4" s="95">
        <v>40</v>
      </c>
      <c r="K4" s="114" t="s">
        <v>197</v>
      </c>
      <c r="L4" s="114">
        <v>80207671</v>
      </c>
      <c r="M4" s="114" t="s">
        <v>206</v>
      </c>
    </row>
    <row r="5" spans="1:17" x14ac:dyDescent="0.3">
      <c r="A5" s="94" t="s">
        <v>135</v>
      </c>
      <c r="B5" s="95">
        <v>450</v>
      </c>
      <c r="C5" s="96" t="s">
        <v>132</v>
      </c>
      <c r="D5" s="95">
        <v>30</v>
      </c>
      <c r="K5" s="114" t="s">
        <v>198</v>
      </c>
      <c r="L5" s="114">
        <v>80217717</v>
      </c>
      <c r="M5" s="114" t="s">
        <v>118</v>
      </c>
    </row>
    <row r="6" spans="1:17" x14ac:dyDescent="0.3">
      <c r="A6" s="94" t="s">
        <v>131</v>
      </c>
      <c r="B6" s="95">
        <v>350</v>
      </c>
      <c r="C6" s="96" t="s">
        <v>136</v>
      </c>
      <c r="D6" s="95">
        <v>40</v>
      </c>
      <c r="K6" s="114" t="s">
        <v>199</v>
      </c>
      <c r="L6" s="114">
        <v>80231074</v>
      </c>
      <c r="M6" s="114" t="s">
        <v>118</v>
      </c>
    </row>
    <row r="7" spans="1:17" x14ac:dyDescent="0.3">
      <c r="A7" s="94" t="s">
        <v>137</v>
      </c>
      <c r="B7" s="95">
        <v>400</v>
      </c>
      <c r="C7" s="96" t="s">
        <v>138</v>
      </c>
      <c r="D7" s="95">
        <v>30</v>
      </c>
      <c r="K7" s="114" t="s">
        <v>200</v>
      </c>
      <c r="L7" s="114">
        <v>80316437</v>
      </c>
      <c r="M7" s="114" t="s">
        <v>206</v>
      </c>
    </row>
    <row r="8" spans="1:17" x14ac:dyDescent="0.3">
      <c r="A8" s="94" t="s">
        <v>139</v>
      </c>
      <c r="B8" s="95">
        <v>360</v>
      </c>
      <c r="C8" s="96" t="s">
        <v>134</v>
      </c>
      <c r="D8" s="95">
        <v>40</v>
      </c>
      <c r="K8" s="114" t="s">
        <v>201</v>
      </c>
      <c r="L8" s="114">
        <v>80233274</v>
      </c>
      <c r="M8" s="114" t="s">
        <v>118</v>
      </c>
    </row>
    <row r="9" spans="1:17" x14ac:dyDescent="0.3">
      <c r="A9" s="94" t="s">
        <v>131</v>
      </c>
      <c r="B9" s="95">
        <v>370</v>
      </c>
      <c r="C9" s="96" t="s">
        <v>134</v>
      </c>
      <c r="D9" s="160">
        <v>10</v>
      </c>
      <c r="K9" s="114" t="s">
        <v>202</v>
      </c>
      <c r="L9" s="114">
        <v>80235983</v>
      </c>
      <c r="M9" s="114" t="s">
        <v>118</v>
      </c>
    </row>
    <row r="10" spans="1:17" x14ac:dyDescent="0.3">
      <c r="A10" s="94" t="s">
        <v>140</v>
      </c>
      <c r="B10" s="95">
        <v>320</v>
      </c>
      <c r="C10" s="96" t="s">
        <v>132</v>
      </c>
      <c r="D10" s="160">
        <v>40</v>
      </c>
      <c r="K10" s="114" t="s">
        <v>203</v>
      </c>
      <c r="L10" s="114">
        <v>80239521</v>
      </c>
      <c r="M10" s="114" t="s">
        <v>204</v>
      </c>
    </row>
    <row r="11" spans="1:17" x14ac:dyDescent="0.3">
      <c r="K11" s="114" t="s">
        <v>205</v>
      </c>
      <c r="L11" s="114">
        <v>80256545</v>
      </c>
      <c r="M11" s="114" t="s">
        <v>206</v>
      </c>
    </row>
    <row r="12" spans="1:17" x14ac:dyDescent="0.3">
      <c r="K12" s="114" t="s">
        <v>201</v>
      </c>
      <c r="L12" s="114">
        <v>80233274</v>
      </c>
      <c r="M12" s="114" t="s">
        <v>118</v>
      </c>
    </row>
    <row r="13" spans="1:17" x14ac:dyDescent="0.3">
      <c r="K13" s="114" t="s">
        <v>207</v>
      </c>
      <c r="L13" s="114">
        <v>80122721</v>
      </c>
      <c r="M13" s="114" t="s">
        <v>118</v>
      </c>
    </row>
    <row r="14" spans="1:17" x14ac:dyDescent="0.3">
      <c r="K14" s="114" t="s">
        <v>208</v>
      </c>
      <c r="L14" s="114">
        <v>80152603</v>
      </c>
      <c r="M14" s="114" t="s">
        <v>206</v>
      </c>
    </row>
    <row r="15" spans="1:17" x14ac:dyDescent="0.3">
      <c r="K15" s="114" t="s">
        <v>209</v>
      </c>
      <c r="L15" s="114">
        <v>80174860</v>
      </c>
      <c r="M15" s="114" t="s">
        <v>118</v>
      </c>
    </row>
    <row r="16" spans="1:17" x14ac:dyDescent="0.3">
      <c r="K16" s="114" t="s">
        <v>210</v>
      </c>
      <c r="L16" s="114">
        <v>80206216</v>
      </c>
      <c r="M16" s="114" t="s">
        <v>114</v>
      </c>
    </row>
    <row r="17" spans="11:13" x14ac:dyDescent="0.3">
      <c r="K17" s="114" t="s">
        <v>211</v>
      </c>
      <c r="L17" s="114">
        <v>80210808</v>
      </c>
      <c r="M17" s="114" t="s">
        <v>212</v>
      </c>
    </row>
    <row r="18" spans="11:13" x14ac:dyDescent="0.3">
      <c r="K18" s="114" t="s">
        <v>213</v>
      </c>
      <c r="L18" s="114">
        <v>80236002</v>
      </c>
      <c r="M18" s="114" t="s">
        <v>212</v>
      </c>
    </row>
  </sheetData>
  <mergeCells count="2">
    <mergeCell ref="E2:H2"/>
    <mergeCell ref="N2:P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FC34"/>
  <sheetViews>
    <sheetView showGridLines="0" workbookViewId="0">
      <selection sqref="A1:G2"/>
    </sheetView>
  </sheetViews>
  <sheetFormatPr defaultRowHeight="14.5" x14ac:dyDescent="0.35"/>
  <cols>
    <col min="1" max="1" width="5.26953125" bestFit="1" customWidth="1"/>
    <col min="2" max="2" width="13.81640625" bestFit="1" customWidth="1"/>
    <col min="3" max="3" width="17.54296875" bestFit="1" customWidth="1"/>
    <col min="4" max="4" width="7.453125" bestFit="1" customWidth="1"/>
    <col min="5" max="5" width="11.7265625" bestFit="1" customWidth="1"/>
    <col min="6" max="6" width="13.1796875" bestFit="1" customWidth="1"/>
    <col min="7" max="7" width="12.453125" customWidth="1"/>
    <col min="9" max="9" width="23.54296875" customWidth="1"/>
    <col min="10" max="10" width="15.26953125" customWidth="1"/>
    <col min="16383" max="16383" width="16.54296875" bestFit="1" customWidth="1"/>
  </cols>
  <sheetData>
    <row r="1" spans="1:10 16383:16383" ht="12" customHeight="1" x14ac:dyDescent="0.35">
      <c r="A1" s="224" t="s">
        <v>192</v>
      </c>
      <c r="B1" s="224"/>
      <c r="C1" s="224"/>
      <c r="D1" s="224"/>
      <c r="E1" s="224"/>
      <c r="F1" s="224"/>
      <c r="G1" s="224"/>
      <c r="I1" s="226" t="s">
        <v>191</v>
      </c>
      <c r="J1" s="226"/>
      <c r="XFC1" s="99" t="s">
        <v>148</v>
      </c>
    </row>
    <row r="2" spans="1:10 16383:16383" ht="9" customHeight="1" x14ac:dyDescent="0.35">
      <c r="A2" s="224"/>
      <c r="B2" s="224"/>
      <c r="C2" s="224"/>
      <c r="D2" s="224"/>
      <c r="E2" s="224"/>
      <c r="F2" s="224"/>
      <c r="G2" s="224"/>
      <c r="I2" s="226"/>
      <c r="J2" s="226"/>
      <c r="XFC2" s="101" t="s">
        <v>151</v>
      </c>
    </row>
    <row r="3" spans="1:10 16383:16383" ht="23.25" customHeight="1" x14ac:dyDescent="0.35">
      <c r="A3" s="109" t="s">
        <v>142</v>
      </c>
      <c r="B3" s="109" t="s">
        <v>143</v>
      </c>
      <c r="C3" s="109" t="s">
        <v>144</v>
      </c>
      <c r="D3" s="109" t="s">
        <v>145</v>
      </c>
      <c r="E3" s="109" t="s">
        <v>146</v>
      </c>
      <c r="F3" s="109" t="s">
        <v>147</v>
      </c>
      <c r="G3" s="109" t="s">
        <v>75</v>
      </c>
      <c r="I3" s="227"/>
      <c r="J3" s="227"/>
      <c r="XFC3" s="101" t="s">
        <v>154</v>
      </c>
    </row>
    <row r="4" spans="1:10 16383:16383" x14ac:dyDescent="0.35">
      <c r="A4" s="106">
        <v>1</v>
      </c>
      <c r="B4" s="107">
        <v>42018</v>
      </c>
      <c r="C4" s="106" t="s">
        <v>148</v>
      </c>
      <c r="D4" s="108">
        <v>1934</v>
      </c>
      <c r="E4" s="106" t="s">
        <v>149</v>
      </c>
      <c r="F4" s="106" t="s">
        <v>150</v>
      </c>
      <c r="G4" s="110">
        <v>5684</v>
      </c>
      <c r="XFC4" s="101" t="s">
        <v>157</v>
      </c>
    </row>
    <row r="5" spans="1:10 16383:16383" ht="15" thickBot="1" x14ac:dyDescent="0.4">
      <c r="A5" s="101">
        <v>2</v>
      </c>
      <c r="B5" s="100">
        <v>42023</v>
      </c>
      <c r="C5" s="101" t="s">
        <v>151</v>
      </c>
      <c r="D5" s="102">
        <v>2203</v>
      </c>
      <c r="E5" s="101" t="s">
        <v>152</v>
      </c>
      <c r="F5" s="101" t="s">
        <v>150</v>
      </c>
      <c r="G5" s="111">
        <v>9875</v>
      </c>
      <c r="I5" s="113" t="s">
        <v>144</v>
      </c>
      <c r="J5" s="113" t="s">
        <v>153</v>
      </c>
      <c r="XFC5" s="101" t="s">
        <v>159</v>
      </c>
    </row>
    <row r="6" spans="1:10 16383:16383" x14ac:dyDescent="0.35">
      <c r="A6" s="101">
        <v>3</v>
      </c>
      <c r="B6" s="100">
        <v>42028</v>
      </c>
      <c r="C6" s="101" t="s">
        <v>154</v>
      </c>
      <c r="D6" s="102">
        <v>2350</v>
      </c>
      <c r="E6" s="101" t="s">
        <v>155</v>
      </c>
      <c r="F6" s="101" t="s">
        <v>150</v>
      </c>
      <c r="G6" s="111">
        <v>6548</v>
      </c>
      <c r="I6" s="103" t="s">
        <v>188</v>
      </c>
      <c r="J6" s="112">
        <f>SUMIF(C4:C33,I6,G4:G33)</f>
        <v>1457</v>
      </c>
      <c r="XFC6" s="101" t="s">
        <v>161</v>
      </c>
    </row>
    <row r="7" spans="1:10 16383:16383" x14ac:dyDescent="0.35">
      <c r="A7" s="101">
        <v>4</v>
      </c>
      <c r="B7" s="100">
        <v>42038</v>
      </c>
      <c r="C7" s="101" t="s">
        <v>157</v>
      </c>
      <c r="D7" s="102">
        <v>2391</v>
      </c>
      <c r="E7" s="101" t="s">
        <v>152</v>
      </c>
      <c r="F7" s="101" t="s">
        <v>158</v>
      </c>
      <c r="G7" s="111">
        <v>5264</v>
      </c>
      <c r="XFC7" s="101" t="s">
        <v>163</v>
      </c>
    </row>
    <row r="8" spans="1:10 16383:16383" x14ac:dyDescent="0.35">
      <c r="A8" s="101">
        <v>5</v>
      </c>
      <c r="B8" s="100">
        <v>42048</v>
      </c>
      <c r="C8" s="101" t="s">
        <v>159</v>
      </c>
      <c r="D8" s="102">
        <v>2586</v>
      </c>
      <c r="E8" s="101" t="s">
        <v>152</v>
      </c>
      <c r="F8" s="101" t="s">
        <v>160</v>
      </c>
      <c r="G8" s="111">
        <v>6548</v>
      </c>
      <c r="XFC8" s="101" t="s">
        <v>164</v>
      </c>
    </row>
    <row r="9" spans="1:10 16383:16383" x14ac:dyDescent="0.35">
      <c r="A9" s="101">
        <v>6</v>
      </c>
      <c r="B9" s="100">
        <v>42050</v>
      </c>
      <c r="C9" s="101" t="s">
        <v>161</v>
      </c>
      <c r="D9" s="102">
        <v>2714</v>
      </c>
      <c r="E9" s="101" t="s">
        <v>155</v>
      </c>
      <c r="F9" s="101" t="s">
        <v>162</v>
      </c>
      <c r="G9" s="111">
        <v>5264</v>
      </c>
      <c r="XFC9" s="101" t="s">
        <v>166</v>
      </c>
    </row>
    <row r="10" spans="1:10 16383:16383" x14ac:dyDescent="0.35">
      <c r="A10" s="101">
        <v>7</v>
      </c>
      <c r="B10" s="100">
        <v>42067</v>
      </c>
      <c r="C10" s="101" t="s">
        <v>163</v>
      </c>
      <c r="D10" s="102">
        <v>2752</v>
      </c>
      <c r="E10" s="101" t="s">
        <v>152</v>
      </c>
      <c r="F10" s="101" t="s">
        <v>158</v>
      </c>
      <c r="G10" s="111">
        <v>5648</v>
      </c>
      <c r="XFC10" s="101" t="s">
        <v>168</v>
      </c>
    </row>
    <row r="11" spans="1:10 16383:16383" x14ac:dyDescent="0.35">
      <c r="A11" s="101">
        <v>8</v>
      </c>
      <c r="B11" s="100">
        <v>42082</v>
      </c>
      <c r="C11" s="101" t="s">
        <v>164</v>
      </c>
      <c r="D11" s="102">
        <v>2931</v>
      </c>
      <c r="E11" s="101" t="s">
        <v>152</v>
      </c>
      <c r="F11" s="101" t="s">
        <v>165</v>
      </c>
      <c r="G11" s="111">
        <v>5746</v>
      </c>
      <c r="XFC11" s="101" t="s">
        <v>170</v>
      </c>
    </row>
    <row r="12" spans="1:10 16383:16383" x14ac:dyDescent="0.35">
      <c r="A12" s="101">
        <v>9</v>
      </c>
      <c r="B12" s="100">
        <v>42089</v>
      </c>
      <c r="C12" s="101" t="s">
        <v>166</v>
      </c>
      <c r="D12" s="102">
        <v>3081</v>
      </c>
      <c r="E12" s="101" t="s">
        <v>155</v>
      </c>
      <c r="F12" s="101" t="s">
        <v>167</v>
      </c>
      <c r="G12" s="111">
        <v>6589</v>
      </c>
      <c r="XFC12" s="101" t="s">
        <v>156</v>
      </c>
    </row>
    <row r="13" spans="1:10 16383:16383" x14ac:dyDescent="0.35">
      <c r="A13" s="101">
        <v>10</v>
      </c>
      <c r="B13" s="100">
        <v>42102</v>
      </c>
      <c r="C13" s="101" t="s">
        <v>168</v>
      </c>
      <c r="D13" s="102">
        <v>3130</v>
      </c>
      <c r="E13" s="101" t="s">
        <v>169</v>
      </c>
      <c r="F13" s="101" t="s">
        <v>165</v>
      </c>
      <c r="G13" s="111">
        <v>5486</v>
      </c>
      <c r="J13" s="104"/>
      <c r="XFC13" s="101" t="s">
        <v>171</v>
      </c>
    </row>
    <row r="14" spans="1:10 16383:16383" x14ac:dyDescent="0.35">
      <c r="A14" s="101">
        <v>11</v>
      </c>
      <c r="B14" s="100">
        <v>42108</v>
      </c>
      <c r="C14" s="101" t="s">
        <v>170</v>
      </c>
      <c r="D14" s="102">
        <v>3294</v>
      </c>
      <c r="E14" s="101" t="s">
        <v>169</v>
      </c>
      <c r="F14" s="101" t="s">
        <v>158</v>
      </c>
      <c r="G14" s="111">
        <v>2351</v>
      </c>
      <c r="XFC14" s="101" t="s">
        <v>172</v>
      </c>
    </row>
    <row r="15" spans="1:10 16383:16383" x14ac:dyDescent="0.35">
      <c r="A15" s="101">
        <v>12</v>
      </c>
      <c r="B15" s="100">
        <v>42109</v>
      </c>
      <c r="C15" s="101" t="s">
        <v>156</v>
      </c>
      <c r="D15" s="102">
        <v>3295</v>
      </c>
      <c r="E15" s="101" t="s">
        <v>169</v>
      </c>
      <c r="F15" s="101" t="s">
        <v>150</v>
      </c>
      <c r="G15" s="111">
        <v>12358</v>
      </c>
      <c r="XFC15" s="101" t="s">
        <v>173</v>
      </c>
    </row>
    <row r="16" spans="1:10 16383:16383" x14ac:dyDescent="0.35">
      <c r="A16" s="101">
        <v>13</v>
      </c>
      <c r="B16" s="100">
        <v>42127</v>
      </c>
      <c r="C16" s="101" t="s">
        <v>171</v>
      </c>
      <c r="D16" s="102">
        <v>3308</v>
      </c>
      <c r="E16" s="101" t="s">
        <v>152</v>
      </c>
      <c r="F16" s="101" t="s">
        <v>160</v>
      </c>
      <c r="G16" s="111">
        <v>1254</v>
      </c>
      <c r="XFC16" s="101" t="s">
        <v>175</v>
      </c>
    </row>
    <row r="17" spans="1:7 16383:16383" x14ac:dyDescent="0.35">
      <c r="A17" s="101">
        <v>14</v>
      </c>
      <c r="B17" s="100">
        <v>42147</v>
      </c>
      <c r="C17" s="101" t="s">
        <v>172</v>
      </c>
      <c r="D17" s="102">
        <v>3324</v>
      </c>
      <c r="E17" s="101" t="s">
        <v>149</v>
      </c>
      <c r="F17" s="101" t="s">
        <v>165</v>
      </c>
      <c r="G17" s="111">
        <v>6548</v>
      </c>
      <c r="XFC17" s="101" t="s">
        <v>176</v>
      </c>
    </row>
    <row r="18" spans="1:7 16383:16383" x14ac:dyDescent="0.35">
      <c r="A18" s="101">
        <v>15</v>
      </c>
      <c r="B18" s="100">
        <v>42157</v>
      </c>
      <c r="C18" s="101" t="s">
        <v>173</v>
      </c>
      <c r="D18" s="102">
        <v>3402</v>
      </c>
      <c r="E18" s="101" t="s">
        <v>152</v>
      </c>
      <c r="F18" s="101" t="s">
        <v>174</v>
      </c>
      <c r="G18" s="111">
        <v>8547</v>
      </c>
      <c r="XFC18" s="101" t="s">
        <v>178</v>
      </c>
    </row>
    <row r="19" spans="1:7 16383:16383" x14ac:dyDescent="0.35">
      <c r="A19" s="101">
        <v>16</v>
      </c>
      <c r="B19" s="100">
        <v>42172</v>
      </c>
      <c r="C19" s="101" t="s">
        <v>175</v>
      </c>
      <c r="D19" s="102">
        <v>3429</v>
      </c>
      <c r="E19" s="101" t="s">
        <v>149</v>
      </c>
      <c r="F19" s="101" t="s">
        <v>162</v>
      </c>
      <c r="G19" s="111">
        <v>4568</v>
      </c>
      <c r="XFC19" s="101" t="s">
        <v>179</v>
      </c>
    </row>
    <row r="20" spans="1:7 16383:16383" x14ac:dyDescent="0.35">
      <c r="A20" s="101">
        <v>17</v>
      </c>
      <c r="B20" s="100">
        <v>42187</v>
      </c>
      <c r="C20" s="101" t="s">
        <v>176</v>
      </c>
      <c r="D20" s="102">
        <v>3432</v>
      </c>
      <c r="E20" s="101" t="s">
        <v>177</v>
      </c>
      <c r="F20" s="101" t="s">
        <v>167</v>
      </c>
      <c r="G20" s="111">
        <v>4859</v>
      </c>
      <c r="XFC20" s="101" t="s">
        <v>180</v>
      </c>
    </row>
    <row r="21" spans="1:7 16383:16383" x14ac:dyDescent="0.35">
      <c r="A21" s="101">
        <v>18</v>
      </c>
      <c r="B21" s="100">
        <v>42202</v>
      </c>
      <c r="C21" s="101" t="s">
        <v>178</v>
      </c>
      <c r="D21" s="102">
        <v>3438</v>
      </c>
      <c r="E21" s="101" t="s">
        <v>155</v>
      </c>
      <c r="F21" s="101" t="s">
        <v>158</v>
      </c>
      <c r="G21" s="111">
        <v>9658</v>
      </c>
      <c r="XFC21" s="101" t="s">
        <v>181</v>
      </c>
    </row>
    <row r="22" spans="1:7 16383:16383" x14ac:dyDescent="0.35">
      <c r="A22" s="101">
        <v>19</v>
      </c>
      <c r="B22" s="100">
        <v>42217</v>
      </c>
      <c r="C22" s="101" t="s">
        <v>179</v>
      </c>
      <c r="D22" s="102">
        <v>3446</v>
      </c>
      <c r="E22" s="101" t="s">
        <v>149</v>
      </c>
      <c r="F22" s="101" t="s">
        <v>158</v>
      </c>
      <c r="G22" s="111">
        <v>7325</v>
      </c>
      <c r="XFC22" s="101" t="s">
        <v>182</v>
      </c>
    </row>
    <row r="23" spans="1:7 16383:16383" x14ac:dyDescent="0.35">
      <c r="A23" s="101">
        <v>20</v>
      </c>
      <c r="B23" s="100">
        <v>42227</v>
      </c>
      <c r="C23" s="101" t="s">
        <v>180</v>
      </c>
      <c r="D23" s="102">
        <v>3617</v>
      </c>
      <c r="E23" s="101" t="s">
        <v>169</v>
      </c>
      <c r="F23" s="101" t="s">
        <v>158</v>
      </c>
      <c r="G23" s="111">
        <v>1567</v>
      </c>
      <c r="XFC23" s="101" t="s">
        <v>183</v>
      </c>
    </row>
    <row r="24" spans="1:7 16383:16383" x14ac:dyDescent="0.35">
      <c r="A24" s="101">
        <v>21</v>
      </c>
      <c r="B24" s="100">
        <v>42237</v>
      </c>
      <c r="C24" s="101" t="s">
        <v>181</v>
      </c>
      <c r="D24" s="102">
        <v>3676</v>
      </c>
      <c r="E24" s="101" t="s">
        <v>177</v>
      </c>
      <c r="F24" s="101" t="s">
        <v>160</v>
      </c>
      <c r="G24" s="111">
        <v>1468</v>
      </c>
      <c r="XFC24" s="101" t="s">
        <v>184</v>
      </c>
    </row>
    <row r="25" spans="1:7 16383:16383" x14ac:dyDescent="0.35">
      <c r="A25" s="101">
        <v>22</v>
      </c>
      <c r="B25" s="100">
        <v>42257</v>
      </c>
      <c r="C25" s="101" t="s">
        <v>182</v>
      </c>
      <c r="D25" s="102">
        <v>3739</v>
      </c>
      <c r="E25" s="101" t="s">
        <v>152</v>
      </c>
      <c r="F25" s="101" t="s">
        <v>165</v>
      </c>
      <c r="G25" s="111">
        <v>1486</v>
      </c>
      <c r="XFC25" s="101" t="s">
        <v>185</v>
      </c>
    </row>
    <row r="26" spans="1:7 16383:16383" x14ac:dyDescent="0.35">
      <c r="A26" s="101">
        <v>23</v>
      </c>
      <c r="B26" s="100">
        <v>42272</v>
      </c>
      <c r="C26" s="101" t="s">
        <v>183</v>
      </c>
      <c r="D26" s="102">
        <v>3778</v>
      </c>
      <c r="E26" s="101" t="s">
        <v>152</v>
      </c>
      <c r="F26" s="101" t="s">
        <v>165</v>
      </c>
      <c r="G26" s="111">
        <v>1578</v>
      </c>
      <c r="XFC26" s="101" t="s">
        <v>186</v>
      </c>
    </row>
    <row r="27" spans="1:7 16383:16383" x14ac:dyDescent="0.35">
      <c r="A27" s="101">
        <v>24</v>
      </c>
      <c r="B27" s="100">
        <v>42287</v>
      </c>
      <c r="C27" s="101" t="s">
        <v>184</v>
      </c>
      <c r="D27" s="102">
        <v>3822</v>
      </c>
      <c r="E27" s="101" t="s">
        <v>169</v>
      </c>
      <c r="F27" s="101" t="s">
        <v>167</v>
      </c>
      <c r="G27" s="111">
        <v>4528</v>
      </c>
      <c r="XFC27" s="101" t="s">
        <v>187</v>
      </c>
    </row>
    <row r="28" spans="1:7 16383:16383" x14ac:dyDescent="0.35">
      <c r="A28" s="101">
        <v>25</v>
      </c>
      <c r="B28" s="100">
        <v>42304</v>
      </c>
      <c r="C28" s="101" t="s">
        <v>185</v>
      </c>
      <c r="D28" s="102">
        <v>3835</v>
      </c>
      <c r="E28" s="101" t="s">
        <v>149</v>
      </c>
      <c r="F28" s="101" t="s">
        <v>167</v>
      </c>
      <c r="G28" s="111">
        <v>3567</v>
      </c>
      <c r="XFC28" s="101" t="s">
        <v>188</v>
      </c>
    </row>
    <row r="29" spans="1:7 16383:16383" x14ac:dyDescent="0.35">
      <c r="A29" s="101">
        <v>26</v>
      </c>
      <c r="B29" s="100">
        <v>42317</v>
      </c>
      <c r="C29" s="101" t="s">
        <v>186</v>
      </c>
      <c r="D29" s="102">
        <v>3853</v>
      </c>
      <c r="E29" s="101" t="s">
        <v>155</v>
      </c>
      <c r="F29" s="101" t="s">
        <v>160</v>
      </c>
      <c r="G29" s="111">
        <v>1523</v>
      </c>
      <c r="XFC29" s="101" t="s">
        <v>189</v>
      </c>
    </row>
    <row r="30" spans="1:7 16383:16383" x14ac:dyDescent="0.35">
      <c r="A30" s="101">
        <v>27</v>
      </c>
      <c r="B30" s="100">
        <v>42327</v>
      </c>
      <c r="C30" s="101" t="s">
        <v>187</v>
      </c>
      <c r="D30" s="102">
        <v>3864</v>
      </c>
      <c r="E30" s="101" t="s">
        <v>152</v>
      </c>
      <c r="F30" s="101" t="s">
        <v>165</v>
      </c>
      <c r="G30" s="111">
        <v>2135</v>
      </c>
      <c r="XFC30" s="105" t="s">
        <v>190</v>
      </c>
    </row>
    <row r="31" spans="1:7 16383:16383" x14ac:dyDescent="0.35">
      <c r="A31" s="101">
        <v>28</v>
      </c>
      <c r="B31" s="100">
        <v>42342</v>
      </c>
      <c r="C31" s="101" t="s">
        <v>188</v>
      </c>
      <c r="D31" s="102">
        <v>4013</v>
      </c>
      <c r="E31" s="101" t="s">
        <v>169</v>
      </c>
      <c r="F31" s="101" t="s">
        <v>162</v>
      </c>
      <c r="G31" s="111">
        <v>1457</v>
      </c>
    </row>
    <row r="32" spans="1:7 16383:16383" x14ac:dyDescent="0.35">
      <c r="A32" s="101">
        <v>29</v>
      </c>
      <c r="B32" s="100">
        <v>42362</v>
      </c>
      <c r="C32" s="101" t="s">
        <v>189</v>
      </c>
      <c r="D32" s="102">
        <v>4226</v>
      </c>
      <c r="E32" s="101" t="s">
        <v>177</v>
      </c>
      <c r="F32" s="101" t="s">
        <v>167</v>
      </c>
      <c r="G32" s="111">
        <v>1487</v>
      </c>
    </row>
    <row r="33" spans="1:7" x14ac:dyDescent="0.35">
      <c r="A33" s="101">
        <v>30</v>
      </c>
      <c r="B33" s="100">
        <v>42364</v>
      </c>
      <c r="C33" s="101" t="s">
        <v>190</v>
      </c>
      <c r="D33" s="102">
        <v>4400</v>
      </c>
      <c r="E33" s="101" t="s">
        <v>149</v>
      </c>
      <c r="F33" s="101" t="s">
        <v>150</v>
      </c>
      <c r="G33" s="111">
        <v>1658</v>
      </c>
    </row>
    <row r="34" spans="1:7" x14ac:dyDescent="0.35">
      <c r="A34" s="225" t="s">
        <v>80</v>
      </c>
      <c r="B34" s="225"/>
      <c r="C34" s="225"/>
      <c r="D34" s="225"/>
      <c r="E34" s="225"/>
      <c r="F34" s="225"/>
      <c r="G34" s="206">
        <f>SUM(G4:G33)</f>
        <v>142574</v>
      </c>
    </row>
  </sheetData>
  <mergeCells count="3">
    <mergeCell ref="A1:G2"/>
    <mergeCell ref="A34:F34"/>
    <mergeCell ref="I1:J3"/>
  </mergeCells>
  <dataValidations count="3">
    <dataValidation type="list" allowBlank="1" showInputMessage="1" showErrorMessage="1" sqref="F4:F33" xr:uid="{00000000-0002-0000-0300-000000000000}">
      <formula1>"Aviva,Metlife,British Gas,Sunshine,Aviara,STA,Indimag"</formula1>
    </dataValidation>
    <dataValidation type="list" allowBlank="1" showInputMessage="1" showErrorMessage="1" sqref="E4:E33" xr:uid="{00000000-0002-0000-0300-000001000000}">
      <formula1>"AM,Manager,AVP,VP,President"</formula1>
    </dataValidation>
    <dataValidation type="list" allowBlank="1" showInputMessage="1" showErrorMessage="1" sqref="I6" xr:uid="{00000000-0002-0000-0300-000002000000}">
      <formula1>$XFC$1:$XFC$30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41"/>
  <sheetViews>
    <sheetView showGridLines="0" workbookViewId="0"/>
  </sheetViews>
  <sheetFormatPr defaultRowHeight="14.5" x14ac:dyDescent="0.35"/>
  <cols>
    <col min="1" max="1" width="22.54296875" bestFit="1" customWidth="1"/>
    <col min="2" max="2" width="7.7265625" bestFit="1" customWidth="1"/>
    <col min="3" max="3" width="11.26953125" bestFit="1" customWidth="1"/>
    <col min="4" max="4" width="4.453125" customWidth="1"/>
    <col min="5" max="5" width="14.7265625" customWidth="1"/>
    <col min="6" max="6" width="14.54296875" customWidth="1"/>
    <col min="7" max="8" width="12.7265625" customWidth="1"/>
    <col min="9" max="9" width="42.81640625" customWidth="1"/>
    <col min="10" max="10" width="13.7265625" customWidth="1"/>
  </cols>
  <sheetData>
    <row r="1" spans="1:10" x14ac:dyDescent="0.35">
      <c r="A1" s="27" t="s">
        <v>69</v>
      </c>
      <c r="B1" s="27" t="s">
        <v>56</v>
      </c>
      <c r="C1" s="27" t="s">
        <v>57</v>
      </c>
      <c r="E1" s="45" t="s">
        <v>89</v>
      </c>
      <c r="F1" s="44"/>
      <c r="G1" s="44"/>
      <c r="H1" s="44"/>
      <c r="I1" s="45" t="s">
        <v>90</v>
      </c>
      <c r="J1" s="45"/>
    </row>
    <row r="2" spans="1:10" x14ac:dyDescent="0.35">
      <c r="A2" s="28" t="s">
        <v>58</v>
      </c>
      <c r="B2" s="28" t="s">
        <v>59</v>
      </c>
      <c r="C2" s="28">
        <v>11020</v>
      </c>
    </row>
    <row r="3" spans="1:10" x14ac:dyDescent="0.35">
      <c r="A3" s="28" t="s">
        <v>58</v>
      </c>
      <c r="B3" s="28" t="s">
        <v>59</v>
      </c>
      <c r="C3" s="28">
        <v>8856</v>
      </c>
      <c r="E3" s="32" t="s">
        <v>56</v>
      </c>
      <c r="F3" s="32" t="s">
        <v>88</v>
      </c>
      <c r="I3" s="31" t="s">
        <v>69</v>
      </c>
      <c r="J3" s="31" t="s">
        <v>70</v>
      </c>
    </row>
    <row r="4" spans="1:10" x14ac:dyDescent="0.35">
      <c r="A4" s="28" t="s">
        <v>61</v>
      </c>
      <c r="B4" s="28" t="s">
        <v>59</v>
      </c>
      <c r="C4" s="28">
        <v>8541</v>
      </c>
      <c r="E4" s="24" t="s">
        <v>59</v>
      </c>
      <c r="F4" s="43">
        <f>COUNTIF($B$2:$B$141,E4)</f>
        <v>122</v>
      </c>
      <c r="I4" s="28" t="s">
        <v>60</v>
      </c>
      <c r="J4" s="30">
        <f>SUMIF($A$2:$A$141,"*"&amp;$I4&amp;"*",$C$2:$C$141)</f>
        <v>4041</v>
      </c>
    </row>
    <row r="5" spans="1:10" x14ac:dyDescent="0.35">
      <c r="A5" s="28" t="s">
        <v>58</v>
      </c>
      <c r="B5" s="28" t="s">
        <v>59</v>
      </c>
      <c r="C5" s="28">
        <v>8489</v>
      </c>
      <c r="E5" s="24" t="s">
        <v>72</v>
      </c>
      <c r="F5" s="43">
        <f t="shared" ref="F5:F6" si="0">COUNTIF($B$2:$B$141,E5)</f>
        <v>7</v>
      </c>
      <c r="I5" s="28" t="s">
        <v>62</v>
      </c>
      <c r="J5" s="30">
        <f t="shared" ref="J5:J12" si="1">SUMIF($A$2:$A$141,"*"&amp;$I5&amp;"*",$C$2:$C$141)</f>
        <v>467</v>
      </c>
    </row>
    <row r="6" spans="1:10" x14ac:dyDescent="0.35">
      <c r="A6" s="28" t="s">
        <v>64</v>
      </c>
      <c r="B6" s="28" t="s">
        <v>59</v>
      </c>
      <c r="C6" s="28">
        <v>5896</v>
      </c>
      <c r="E6" s="24" t="s">
        <v>68</v>
      </c>
      <c r="F6" s="43">
        <f t="shared" si="0"/>
        <v>11</v>
      </c>
      <c r="I6" s="29" t="s">
        <v>63</v>
      </c>
      <c r="J6" s="30">
        <f t="shared" si="1"/>
        <v>18204</v>
      </c>
    </row>
    <row r="7" spans="1:10" x14ac:dyDescent="0.35">
      <c r="A7" s="28" t="s">
        <v>61</v>
      </c>
      <c r="B7" s="28" t="s">
        <v>59</v>
      </c>
      <c r="C7" s="28">
        <v>5755</v>
      </c>
      <c r="I7" s="28" t="s">
        <v>64</v>
      </c>
      <c r="J7" s="30">
        <f t="shared" si="1"/>
        <v>34787</v>
      </c>
    </row>
    <row r="8" spans="1:10" x14ac:dyDescent="0.35">
      <c r="A8" s="28" t="s">
        <v>58</v>
      </c>
      <c r="B8" s="28" t="s">
        <v>59</v>
      </c>
      <c r="C8" s="28">
        <v>5211</v>
      </c>
      <c r="I8" s="28" t="s">
        <v>65</v>
      </c>
      <c r="J8" s="30">
        <f t="shared" si="1"/>
        <v>11874</v>
      </c>
    </row>
    <row r="9" spans="1:10" x14ac:dyDescent="0.35">
      <c r="A9" s="28" t="s">
        <v>61</v>
      </c>
      <c r="B9" s="28" t="s">
        <v>59</v>
      </c>
      <c r="C9" s="28">
        <v>4912</v>
      </c>
      <c r="I9" s="28" t="s">
        <v>58</v>
      </c>
      <c r="J9" s="30">
        <f t="shared" si="1"/>
        <v>70709</v>
      </c>
    </row>
    <row r="10" spans="1:10" x14ac:dyDescent="0.35">
      <c r="A10" s="28" t="s">
        <v>61</v>
      </c>
      <c r="B10" s="28" t="s">
        <v>59</v>
      </c>
      <c r="C10" s="28">
        <v>4745</v>
      </c>
      <c r="I10" s="28" t="s">
        <v>66</v>
      </c>
      <c r="J10" s="30">
        <f t="shared" si="1"/>
        <v>9422</v>
      </c>
    </row>
    <row r="11" spans="1:10" x14ac:dyDescent="0.35">
      <c r="A11" s="28" t="s">
        <v>58</v>
      </c>
      <c r="B11" s="28" t="s">
        <v>59</v>
      </c>
      <c r="C11" s="28">
        <v>4002</v>
      </c>
      <c r="I11" s="28" t="s">
        <v>61</v>
      </c>
      <c r="J11" s="30">
        <f t="shared" si="1"/>
        <v>119515</v>
      </c>
    </row>
    <row r="12" spans="1:10" x14ac:dyDescent="0.35">
      <c r="A12" s="28" t="s">
        <v>64</v>
      </c>
      <c r="B12" s="28" t="s">
        <v>59</v>
      </c>
      <c r="C12" s="28">
        <v>3840</v>
      </c>
      <c r="I12" s="28" t="s">
        <v>67</v>
      </c>
      <c r="J12" s="30">
        <f t="shared" si="1"/>
        <v>9720</v>
      </c>
    </row>
    <row r="13" spans="1:10" x14ac:dyDescent="0.35">
      <c r="A13" s="28" t="s">
        <v>58</v>
      </c>
      <c r="B13" s="28" t="s">
        <v>59</v>
      </c>
      <c r="C13" s="28">
        <v>3771</v>
      </c>
    </row>
    <row r="14" spans="1:10" x14ac:dyDescent="0.35">
      <c r="A14" s="28" t="s">
        <v>64</v>
      </c>
      <c r="B14" s="28" t="s">
        <v>59</v>
      </c>
      <c r="C14" s="28">
        <v>3750</v>
      </c>
    </row>
    <row r="15" spans="1:10" x14ac:dyDescent="0.35">
      <c r="A15" s="28" t="s">
        <v>61</v>
      </c>
      <c r="B15" s="28" t="s">
        <v>59</v>
      </c>
      <c r="C15" s="28">
        <v>3526</v>
      </c>
    </row>
    <row r="16" spans="1:10" x14ac:dyDescent="0.35">
      <c r="A16" s="28" t="s">
        <v>58</v>
      </c>
      <c r="B16" s="28" t="s">
        <v>59</v>
      </c>
      <c r="C16" s="28">
        <v>3298</v>
      </c>
    </row>
    <row r="17" spans="1:3" x14ac:dyDescent="0.35">
      <c r="A17" s="28" t="s">
        <v>63</v>
      </c>
      <c r="B17" s="28" t="s">
        <v>59</v>
      </c>
      <c r="C17" s="28">
        <v>3295</v>
      </c>
    </row>
    <row r="18" spans="1:3" x14ac:dyDescent="0.35">
      <c r="A18" s="28" t="s">
        <v>58</v>
      </c>
      <c r="B18" s="28" t="s">
        <v>72</v>
      </c>
      <c r="C18" s="28">
        <v>3236</v>
      </c>
    </row>
    <row r="19" spans="1:3" x14ac:dyDescent="0.35">
      <c r="A19" s="28" t="s">
        <v>64</v>
      </c>
      <c r="B19" s="28" t="s">
        <v>59</v>
      </c>
      <c r="C19" s="28">
        <v>3208</v>
      </c>
    </row>
    <row r="20" spans="1:3" x14ac:dyDescent="0.35">
      <c r="A20" s="28" t="s">
        <v>58</v>
      </c>
      <c r="B20" s="28" t="s">
        <v>59</v>
      </c>
      <c r="C20" s="28">
        <v>3064</v>
      </c>
    </row>
    <row r="21" spans="1:3" x14ac:dyDescent="0.35">
      <c r="A21" s="28" t="s">
        <v>65</v>
      </c>
      <c r="B21" s="28" t="s">
        <v>59</v>
      </c>
      <c r="C21" s="28">
        <v>2970</v>
      </c>
    </row>
    <row r="22" spans="1:3" x14ac:dyDescent="0.35">
      <c r="A22" s="28" t="s">
        <v>58</v>
      </c>
      <c r="B22" s="28" t="s">
        <v>59</v>
      </c>
      <c r="C22" s="28">
        <v>2944</v>
      </c>
    </row>
    <row r="23" spans="1:3" x14ac:dyDescent="0.35">
      <c r="A23" s="28" t="s">
        <v>67</v>
      </c>
      <c r="B23" s="28" t="s">
        <v>59</v>
      </c>
      <c r="C23" s="28">
        <v>2874</v>
      </c>
    </row>
    <row r="24" spans="1:3" x14ac:dyDescent="0.35">
      <c r="A24" s="28" t="s">
        <v>63</v>
      </c>
      <c r="B24" s="28" t="s">
        <v>59</v>
      </c>
      <c r="C24" s="28">
        <v>2694</v>
      </c>
    </row>
    <row r="25" spans="1:3" x14ac:dyDescent="0.35">
      <c r="A25" s="28" t="s">
        <v>64</v>
      </c>
      <c r="B25" s="28" t="s">
        <v>59</v>
      </c>
      <c r="C25" s="28">
        <v>2541</v>
      </c>
    </row>
    <row r="26" spans="1:3" x14ac:dyDescent="0.35">
      <c r="A26" s="28" t="s">
        <v>64</v>
      </c>
      <c r="B26" s="28" t="s">
        <v>59</v>
      </c>
      <c r="C26" s="28">
        <v>2334</v>
      </c>
    </row>
    <row r="27" spans="1:3" x14ac:dyDescent="0.35">
      <c r="A27" s="28" t="s">
        <v>61</v>
      </c>
      <c r="B27" s="28" t="s">
        <v>59</v>
      </c>
      <c r="C27" s="28">
        <v>2232</v>
      </c>
    </row>
    <row r="28" spans="1:3" x14ac:dyDescent="0.35">
      <c r="A28" s="28" t="s">
        <v>58</v>
      </c>
      <c r="B28" s="28" t="s">
        <v>59</v>
      </c>
      <c r="C28" s="28">
        <v>2085</v>
      </c>
    </row>
    <row r="29" spans="1:3" x14ac:dyDescent="0.35">
      <c r="A29" s="28" t="s">
        <v>64</v>
      </c>
      <c r="B29" s="28" t="s">
        <v>59</v>
      </c>
      <c r="C29" s="28">
        <v>2074</v>
      </c>
    </row>
    <row r="30" spans="1:3" x14ac:dyDescent="0.35">
      <c r="A30" s="28" t="s">
        <v>58</v>
      </c>
      <c r="B30" s="28" t="s">
        <v>59</v>
      </c>
      <c r="C30" s="28">
        <v>1916</v>
      </c>
    </row>
    <row r="31" spans="1:3" x14ac:dyDescent="0.35">
      <c r="A31" s="28" t="s">
        <v>64</v>
      </c>
      <c r="B31" s="28" t="s">
        <v>72</v>
      </c>
      <c r="C31" s="28">
        <v>1873</v>
      </c>
    </row>
    <row r="32" spans="1:3" x14ac:dyDescent="0.35">
      <c r="A32" s="28" t="s">
        <v>63</v>
      </c>
      <c r="B32" s="28" t="s">
        <v>59</v>
      </c>
      <c r="C32" s="28">
        <v>1840</v>
      </c>
    </row>
    <row r="33" spans="1:3" x14ac:dyDescent="0.35">
      <c r="A33" s="28" t="s">
        <v>63</v>
      </c>
      <c r="B33" s="28" t="s">
        <v>68</v>
      </c>
      <c r="C33" s="28">
        <v>1810</v>
      </c>
    </row>
    <row r="34" spans="1:3" x14ac:dyDescent="0.35">
      <c r="A34" s="28" t="s">
        <v>61</v>
      </c>
      <c r="B34" s="28" t="s">
        <v>72</v>
      </c>
      <c r="C34" s="28">
        <v>1752</v>
      </c>
    </row>
    <row r="35" spans="1:3" x14ac:dyDescent="0.35">
      <c r="A35" s="28" t="s">
        <v>67</v>
      </c>
      <c r="B35" s="28" t="s">
        <v>59</v>
      </c>
      <c r="C35" s="28">
        <v>1700</v>
      </c>
    </row>
    <row r="36" spans="1:3" x14ac:dyDescent="0.35">
      <c r="A36" s="28" t="s">
        <v>64</v>
      </c>
      <c r="B36" s="28" t="s">
        <v>59</v>
      </c>
      <c r="C36" s="28">
        <v>1472</v>
      </c>
    </row>
    <row r="37" spans="1:3" x14ac:dyDescent="0.35">
      <c r="A37" s="28" t="s">
        <v>65</v>
      </c>
      <c r="B37" s="28" t="s">
        <v>59</v>
      </c>
      <c r="C37" s="28">
        <v>1424</v>
      </c>
    </row>
    <row r="38" spans="1:3" x14ac:dyDescent="0.35">
      <c r="A38" s="28" t="s">
        <v>58</v>
      </c>
      <c r="B38" s="28" t="s">
        <v>68</v>
      </c>
      <c r="C38" s="28">
        <v>1389</v>
      </c>
    </row>
    <row r="39" spans="1:3" x14ac:dyDescent="0.35">
      <c r="A39" s="28" t="s">
        <v>58</v>
      </c>
      <c r="B39" s="28" t="s">
        <v>72</v>
      </c>
      <c r="C39" s="28">
        <v>1385</v>
      </c>
    </row>
    <row r="40" spans="1:3" x14ac:dyDescent="0.35">
      <c r="A40" s="28" t="s">
        <v>66</v>
      </c>
      <c r="B40" s="28" t="s">
        <v>59</v>
      </c>
      <c r="C40" s="28">
        <v>1369</v>
      </c>
    </row>
    <row r="41" spans="1:3" x14ac:dyDescent="0.35">
      <c r="A41" s="28" t="s">
        <v>64</v>
      </c>
      <c r="B41" s="28" t="s">
        <v>59</v>
      </c>
      <c r="C41" s="28">
        <v>1356</v>
      </c>
    </row>
    <row r="42" spans="1:3" x14ac:dyDescent="0.35">
      <c r="A42" s="28" t="s">
        <v>61</v>
      </c>
      <c r="B42" s="28" t="s">
        <v>59</v>
      </c>
      <c r="C42" s="28">
        <v>1355</v>
      </c>
    </row>
    <row r="43" spans="1:3" x14ac:dyDescent="0.35">
      <c r="A43" s="28" t="s">
        <v>58</v>
      </c>
      <c r="B43" s="28" t="s">
        <v>59</v>
      </c>
      <c r="C43" s="28">
        <v>1349</v>
      </c>
    </row>
    <row r="44" spans="1:3" x14ac:dyDescent="0.35">
      <c r="A44" s="28" t="s">
        <v>65</v>
      </c>
      <c r="B44" s="28" t="s">
        <v>59</v>
      </c>
      <c r="C44" s="28">
        <v>1288</v>
      </c>
    </row>
    <row r="45" spans="1:3" x14ac:dyDescent="0.35">
      <c r="A45" s="28" t="s">
        <v>66</v>
      </c>
      <c r="B45" s="28" t="s">
        <v>59</v>
      </c>
      <c r="C45" s="28">
        <v>1267</v>
      </c>
    </row>
    <row r="46" spans="1:3" x14ac:dyDescent="0.35">
      <c r="A46" s="28" t="s">
        <v>63</v>
      </c>
      <c r="B46" s="28" t="s">
        <v>59</v>
      </c>
      <c r="C46" s="28">
        <v>1233</v>
      </c>
    </row>
    <row r="47" spans="1:3" x14ac:dyDescent="0.35">
      <c r="A47" s="28" t="s">
        <v>64</v>
      </c>
      <c r="B47" s="28" t="s">
        <v>59</v>
      </c>
      <c r="C47" s="28">
        <v>1206</v>
      </c>
    </row>
    <row r="48" spans="1:3" x14ac:dyDescent="0.35">
      <c r="A48" s="28" t="s">
        <v>66</v>
      </c>
      <c r="B48" s="28" t="s">
        <v>59</v>
      </c>
      <c r="C48" s="28">
        <v>1201</v>
      </c>
    </row>
    <row r="49" spans="1:3" x14ac:dyDescent="0.35">
      <c r="A49" s="28" t="s">
        <v>61</v>
      </c>
      <c r="B49" s="28" t="s">
        <v>59</v>
      </c>
      <c r="C49" s="28">
        <v>1195</v>
      </c>
    </row>
    <row r="50" spans="1:3" x14ac:dyDescent="0.35">
      <c r="A50" s="28" t="s">
        <v>61</v>
      </c>
      <c r="B50" s="28" t="s">
        <v>59</v>
      </c>
      <c r="C50" s="28">
        <v>1193</v>
      </c>
    </row>
    <row r="51" spans="1:3" x14ac:dyDescent="0.35">
      <c r="A51" s="28" t="s">
        <v>65</v>
      </c>
      <c r="B51" s="28" t="s">
        <v>59</v>
      </c>
      <c r="C51" s="28">
        <v>1177</v>
      </c>
    </row>
    <row r="52" spans="1:3" x14ac:dyDescent="0.35">
      <c r="A52" s="28" t="s">
        <v>61</v>
      </c>
      <c r="B52" s="28" t="s">
        <v>59</v>
      </c>
      <c r="C52" s="28">
        <v>1144</v>
      </c>
    </row>
    <row r="53" spans="1:3" x14ac:dyDescent="0.35">
      <c r="A53" s="28" t="s">
        <v>66</v>
      </c>
      <c r="B53" s="28" t="s">
        <v>59</v>
      </c>
      <c r="C53" s="28">
        <v>1141</v>
      </c>
    </row>
    <row r="54" spans="1:3" x14ac:dyDescent="0.35">
      <c r="A54" s="28" t="s">
        <v>61</v>
      </c>
      <c r="B54" s="28" t="s">
        <v>59</v>
      </c>
      <c r="C54" s="28">
        <v>1117</v>
      </c>
    </row>
    <row r="55" spans="1:3" x14ac:dyDescent="0.35">
      <c r="A55" s="28" t="s">
        <v>60</v>
      </c>
      <c r="B55" s="28" t="s">
        <v>59</v>
      </c>
      <c r="C55" s="28">
        <v>1109</v>
      </c>
    </row>
    <row r="56" spans="1:3" x14ac:dyDescent="0.35">
      <c r="A56" s="28" t="s">
        <v>58</v>
      </c>
      <c r="B56" s="28" t="s">
        <v>59</v>
      </c>
      <c r="C56" s="28">
        <v>1093</v>
      </c>
    </row>
    <row r="57" spans="1:3" x14ac:dyDescent="0.35">
      <c r="A57" s="28" t="s">
        <v>61</v>
      </c>
      <c r="B57" s="28" t="s">
        <v>59</v>
      </c>
      <c r="C57" s="28">
        <v>1089</v>
      </c>
    </row>
    <row r="58" spans="1:3" x14ac:dyDescent="0.35">
      <c r="A58" s="28" t="s">
        <v>64</v>
      </c>
      <c r="B58" s="28" t="s">
        <v>59</v>
      </c>
      <c r="C58" s="28">
        <v>1063</v>
      </c>
    </row>
    <row r="59" spans="1:3" x14ac:dyDescent="0.35">
      <c r="A59" s="28" t="s">
        <v>61</v>
      </c>
      <c r="B59" s="28" t="s">
        <v>59</v>
      </c>
      <c r="C59" s="28">
        <v>1046</v>
      </c>
    </row>
    <row r="60" spans="1:3" x14ac:dyDescent="0.35">
      <c r="A60" s="28" t="s">
        <v>61</v>
      </c>
      <c r="B60" s="28" t="s">
        <v>68</v>
      </c>
      <c r="C60" s="28">
        <v>1044</v>
      </c>
    </row>
    <row r="61" spans="1:3" x14ac:dyDescent="0.35">
      <c r="A61" s="28" t="s">
        <v>67</v>
      </c>
      <c r="B61" s="28" t="s">
        <v>59</v>
      </c>
      <c r="C61" s="28">
        <v>1009</v>
      </c>
    </row>
    <row r="62" spans="1:3" x14ac:dyDescent="0.35">
      <c r="A62" s="28" t="s">
        <v>63</v>
      </c>
      <c r="B62" s="28" t="s">
        <v>59</v>
      </c>
      <c r="C62" s="28">
        <v>1008</v>
      </c>
    </row>
    <row r="63" spans="1:3" x14ac:dyDescent="0.35">
      <c r="A63" s="28" t="s">
        <v>67</v>
      </c>
      <c r="B63" s="28" t="s">
        <v>59</v>
      </c>
      <c r="C63" s="28">
        <v>990</v>
      </c>
    </row>
    <row r="64" spans="1:3" x14ac:dyDescent="0.35">
      <c r="A64" s="28" t="s">
        <v>61</v>
      </c>
      <c r="B64" s="28" t="s">
        <v>59</v>
      </c>
      <c r="C64" s="28">
        <v>969</v>
      </c>
    </row>
    <row r="65" spans="1:3" x14ac:dyDescent="0.35">
      <c r="A65" s="28" t="s">
        <v>61</v>
      </c>
      <c r="B65" s="28" t="s">
        <v>59</v>
      </c>
      <c r="C65" s="28">
        <v>935</v>
      </c>
    </row>
    <row r="66" spans="1:3" x14ac:dyDescent="0.35">
      <c r="A66" s="28" t="s">
        <v>67</v>
      </c>
      <c r="B66" s="28" t="s">
        <v>68</v>
      </c>
      <c r="C66" s="28">
        <v>924</v>
      </c>
    </row>
    <row r="67" spans="1:3" x14ac:dyDescent="0.35">
      <c r="A67" s="28" t="s">
        <v>61</v>
      </c>
      <c r="B67" s="28" t="s">
        <v>59</v>
      </c>
      <c r="C67" s="28">
        <v>919</v>
      </c>
    </row>
    <row r="68" spans="1:3" x14ac:dyDescent="0.35">
      <c r="A68" s="28" t="s">
        <v>64</v>
      </c>
      <c r="B68" s="28" t="s">
        <v>59</v>
      </c>
      <c r="C68" s="28">
        <v>891</v>
      </c>
    </row>
    <row r="69" spans="1:3" x14ac:dyDescent="0.35">
      <c r="A69" s="28" t="s">
        <v>65</v>
      </c>
      <c r="B69" s="28" t="s">
        <v>59</v>
      </c>
      <c r="C69" s="28">
        <v>855</v>
      </c>
    </row>
    <row r="70" spans="1:3" x14ac:dyDescent="0.35">
      <c r="A70" s="28" t="s">
        <v>63</v>
      </c>
      <c r="B70" s="28" t="s">
        <v>59</v>
      </c>
      <c r="C70" s="28">
        <v>850</v>
      </c>
    </row>
    <row r="71" spans="1:3" x14ac:dyDescent="0.35">
      <c r="A71" s="28" t="s">
        <v>61</v>
      </c>
      <c r="B71" s="28" t="s">
        <v>59</v>
      </c>
      <c r="C71" s="28">
        <v>842</v>
      </c>
    </row>
    <row r="72" spans="1:3" x14ac:dyDescent="0.35">
      <c r="A72" s="28" t="s">
        <v>67</v>
      </c>
      <c r="B72" s="28" t="s">
        <v>59</v>
      </c>
      <c r="C72" s="28">
        <v>817</v>
      </c>
    </row>
    <row r="73" spans="1:3" x14ac:dyDescent="0.35">
      <c r="A73" s="28" t="s">
        <v>61</v>
      </c>
      <c r="B73" s="28" t="s">
        <v>59</v>
      </c>
      <c r="C73" s="28">
        <v>792</v>
      </c>
    </row>
    <row r="74" spans="1:3" x14ac:dyDescent="0.35">
      <c r="A74" s="28" t="s">
        <v>63</v>
      </c>
      <c r="B74" s="28" t="s">
        <v>59</v>
      </c>
      <c r="C74" s="28">
        <v>767</v>
      </c>
    </row>
    <row r="75" spans="1:3" x14ac:dyDescent="0.35">
      <c r="A75" s="28" t="s">
        <v>66</v>
      </c>
      <c r="B75" s="28" t="s">
        <v>59</v>
      </c>
      <c r="C75" s="28">
        <v>748</v>
      </c>
    </row>
    <row r="76" spans="1:3" x14ac:dyDescent="0.35">
      <c r="A76" s="28" t="s">
        <v>66</v>
      </c>
      <c r="B76" s="28" t="s">
        <v>68</v>
      </c>
      <c r="C76" s="28">
        <v>741</v>
      </c>
    </row>
    <row r="77" spans="1:3" x14ac:dyDescent="0.35">
      <c r="A77" s="28" t="s">
        <v>65</v>
      </c>
      <c r="B77" s="28" t="s">
        <v>59</v>
      </c>
      <c r="C77" s="28">
        <v>737</v>
      </c>
    </row>
    <row r="78" spans="1:3" x14ac:dyDescent="0.35">
      <c r="A78" s="28" t="s">
        <v>64</v>
      </c>
      <c r="B78" s="28" t="s">
        <v>59</v>
      </c>
      <c r="C78" s="28">
        <v>710</v>
      </c>
    </row>
    <row r="79" spans="1:3" x14ac:dyDescent="0.35">
      <c r="A79" s="28" t="s">
        <v>58</v>
      </c>
      <c r="B79" s="28" t="s">
        <v>72</v>
      </c>
      <c r="C79" s="28">
        <v>687</v>
      </c>
    </row>
    <row r="80" spans="1:3" x14ac:dyDescent="0.35">
      <c r="A80" s="28" t="s">
        <v>63</v>
      </c>
      <c r="B80" s="28" t="s">
        <v>68</v>
      </c>
      <c r="C80" s="28">
        <v>673</v>
      </c>
    </row>
    <row r="81" spans="1:3" x14ac:dyDescent="0.35">
      <c r="A81" s="28" t="s">
        <v>58</v>
      </c>
      <c r="B81" s="28" t="s">
        <v>59</v>
      </c>
      <c r="C81" s="28">
        <v>650</v>
      </c>
    </row>
    <row r="82" spans="1:3" x14ac:dyDescent="0.35">
      <c r="A82" s="28" t="s">
        <v>63</v>
      </c>
      <c r="B82" s="28" t="s">
        <v>59</v>
      </c>
      <c r="C82" s="28">
        <v>649</v>
      </c>
    </row>
    <row r="83" spans="1:3" x14ac:dyDescent="0.35">
      <c r="A83" s="28" t="s">
        <v>60</v>
      </c>
      <c r="B83" s="28" t="s">
        <v>59</v>
      </c>
      <c r="C83" s="28">
        <v>645</v>
      </c>
    </row>
    <row r="84" spans="1:3" x14ac:dyDescent="0.35">
      <c r="A84" s="28" t="s">
        <v>66</v>
      </c>
      <c r="B84" s="28" t="s">
        <v>59</v>
      </c>
      <c r="C84" s="28">
        <v>634</v>
      </c>
    </row>
    <row r="85" spans="1:3" x14ac:dyDescent="0.35">
      <c r="A85" s="28" t="s">
        <v>60</v>
      </c>
      <c r="B85" s="28" t="s">
        <v>59</v>
      </c>
      <c r="C85" s="28">
        <v>630</v>
      </c>
    </row>
    <row r="86" spans="1:3" x14ac:dyDescent="0.35">
      <c r="A86" s="28" t="s">
        <v>60</v>
      </c>
      <c r="B86" s="28" t="s">
        <v>59</v>
      </c>
      <c r="C86" s="28">
        <v>626</v>
      </c>
    </row>
    <row r="87" spans="1:3" x14ac:dyDescent="0.35">
      <c r="A87" s="28" t="s">
        <v>61</v>
      </c>
      <c r="B87" s="28" t="s">
        <v>59</v>
      </c>
      <c r="C87" s="28">
        <v>620</v>
      </c>
    </row>
    <row r="88" spans="1:3" x14ac:dyDescent="0.35">
      <c r="A88" s="28" t="s">
        <v>66</v>
      </c>
      <c r="B88" s="28" t="s">
        <v>59</v>
      </c>
      <c r="C88" s="28">
        <v>610</v>
      </c>
    </row>
    <row r="89" spans="1:3" x14ac:dyDescent="0.35">
      <c r="A89" s="28" t="s">
        <v>63</v>
      </c>
      <c r="B89" s="28" t="s">
        <v>59</v>
      </c>
      <c r="C89" s="28">
        <v>602</v>
      </c>
    </row>
    <row r="90" spans="1:3" x14ac:dyDescent="0.35">
      <c r="A90" s="28" t="s">
        <v>58</v>
      </c>
      <c r="B90" s="28" t="s">
        <v>59</v>
      </c>
      <c r="C90" s="28">
        <v>602</v>
      </c>
    </row>
    <row r="91" spans="1:3" x14ac:dyDescent="0.35">
      <c r="A91" s="28" t="s">
        <v>58</v>
      </c>
      <c r="B91" s="28" t="s">
        <v>59</v>
      </c>
      <c r="C91" s="28">
        <v>596</v>
      </c>
    </row>
    <row r="92" spans="1:3" x14ac:dyDescent="0.35">
      <c r="A92" s="28" t="s">
        <v>58</v>
      </c>
      <c r="B92" s="28" t="s">
        <v>59</v>
      </c>
      <c r="C92" s="28">
        <v>587</v>
      </c>
    </row>
    <row r="93" spans="1:3" x14ac:dyDescent="0.35">
      <c r="A93" s="28" t="s">
        <v>63</v>
      </c>
      <c r="B93" s="28" t="s">
        <v>59</v>
      </c>
      <c r="C93" s="28">
        <v>584</v>
      </c>
    </row>
    <row r="94" spans="1:3" x14ac:dyDescent="0.35">
      <c r="A94" s="28" t="s">
        <v>64</v>
      </c>
      <c r="B94" s="28" t="s">
        <v>59</v>
      </c>
      <c r="C94" s="28">
        <v>577</v>
      </c>
    </row>
    <row r="95" spans="1:3" x14ac:dyDescent="0.35">
      <c r="A95" s="28" t="s">
        <v>66</v>
      </c>
      <c r="B95" s="28" t="s">
        <v>59</v>
      </c>
      <c r="C95" s="28">
        <v>569</v>
      </c>
    </row>
    <row r="96" spans="1:3" x14ac:dyDescent="0.35">
      <c r="A96" s="28" t="s">
        <v>65</v>
      </c>
      <c r="B96" s="28" t="s">
        <v>59</v>
      </c>
      <c r="C96" s="28">
        <v>565</v>
      </c>
    </row>
    <row r="97" spans="1:3" x14ac:dyDescent="0.35">
      <c r="A97" s="28" t="s">
        <v>65</v>
      </c>
      <c r="B97" s="28" t="s">
        <v>59</v>
      </c>
      <c r="C97" s="28">
        <v>565</v>
      </c>
    </row>
    <row r="98" spans="1:3" x14ac:dyDescent="0.35">
      <c r="A98" s="28" t="s">
        <v>61</v>
      </c>
      <c r="B98" s="28" t="s">
        <v>59</v>
      </c>
      <c r="C98" s="28">
        <v>547</v>
      </c>
    </row>
    <row r="99" spans="1:3" x14ac:dyDescent="0.35">
      <c r="A99" s="28" t="s">
        <v>60</v>
      </c>
      <c r="B99" s="28" t="s">
        <v>59</v>
      </c>
      <c r="C99" s="28">
        <v>540</v>
      </c>
    </row>
    <row r="100" spans="1:3" x14ac:dyDescent="0.35">
      <c r="A100" s="28" t="s">
        <v>63</v>
      </c>
      <c r="B100" s="28" t="s">
        <v>59</v>
      </c>
      <c r="C100" s="28">
        <v>533</v>
      </c>
    </row>
    <row r="101" spans="1:3" x14ac:dyDescent="0.35">
      <c r="A101" s="28" t="s">
        <v>64</v>
      </c>
      <c r="B101" s="28" t="s">
        <v>59</v>
      </c>
      <c r="C101" s="28">
        <v>523</v>
      </c>
    </row>
    <row r="102" spans="1:3" x14ac:dyDescent="0.35">
      <c r="A102" s="28" t="s">
        <v>61</v>
      </c>
      <c r="B102" s="28" t="s">
        <v>68</v>
      </c>
      <c r="C102" s="28">
        <v>513</v>
      </c>
    </row>
    <row r="103" spans="1:3" x14ac:dyDescent="0.35">
      <c r="A103" s="28" t="s">
        <v>63</v>
      </c>
      <c r="B103" s="28" t="s">
        <v>59</v>
      </c>
      <c r="C103" s="28">
        <v>498</v>
      </c>
    </row>
    <row r="104" spans="1:3" x14ac:dyDescent="0.35">
      <c r="A104" s="28" t="s">
        <v>58</v>
      </c>
      <c r="B104" s="28" t="s">
        <v>72</v>
      </c>
      <c r="C104" s="28">
        <v>496</v>
      </c>
    </row>
    <row r="105" spans="1:3" x14ac:dyDescent="0.35">
      <c r="A105" s="28" t="s">
        <v>65</v>
      </c>
      <c r="B105" s="28" t="s">
        <v>59</v>
      </c>
      <c r="C105" s="28">
        <v>493</v>
      </c>
    </row>
    <row r="106" spans="1:3" x14ac:dyDescent="0.35">
      <c r="A106" s="28" t="s">
        <v>60</v>
      </c>
      <c r="B106" s="28" t="s">
        <v>59</v>
      </c>
      <c r="C106" s="28">
        <v>491</v>
      </c>
    </row>
    <row r="107" spans="1:3" x14ac:dyDescent="0.35">
      <c r="A107" s="28" t="s">
        <v>61</v>
      </c>
      <c r="B107" s="28" t="s">
        <v>59</v>
      </c>
      <c r="C107" s="28">
        <v>491</v>
      </c>
    </row>
    <row r="108" spans="1:3" x14ac:dyDescent="0.35">
      <c r="A108" s="28" t="s">
        <v>58</v>
      </c>
      <c r="B108" s="28" t="s">
        <v>59</v>
      </c>
      <c r="C108" s="28">
        <v>482</v>
      </c>
    </row>
    <row r="109" spans="1:3" x14ac:dyDescent="0.35">
      <c r="A109" s="28" t="s">
        <v>66</v>
      </c>
      <c r="B109" s="28" t="s">
        <v>59</v>
      </c>
      <c r="C109" s="28">
        <v>471</v>
      </c>
    </row>
    <row r="110" spans="1:3" x14ac:dyDescent="0.35">
      <c r="A110" s="28" t="s">
        <v>58</v>
      </c>
      <c r="B110" s="28" t="s">
        <v>59</v>
      </c>
      <c r="C110" s="28">
        <v>469</v>
      </c>
    </row>
    <row r="111" spans="1:3" x14ac:dyDescent="0.35">
      <c r="A111" s="28" t="s">
        <v>62</v>
      </c>
      <c r="B111" s="28" t="s">
        <v>59</v>
      </c>
      <c r="C111" s="28">
        <v>467</v>
      </c>
    </row>
    <row r="112" spans="1:3" x14ac:dyDescent="0.35">
      <c r="A112" s="28" t="s">
        <v>58</v>
      </c>
      <c r="B112" s="28" t="s">
        <v>68</v>
      </c>
      <c r="C112" s="28">
        <v>466</v>
      </c>
    </row>
    <row r="113" spans="1:3" x14ac:dyDescent="0.35">
      <c r="A113" s="28" t="s">
        <v>58</v>
      </c>
      <c r="B113" s="28" t="s">
        <v>59</v>
      </c>
      <c r="C113" s="28">
        <v>459</v>
      </c>
    </row>
    <row r="114" spans="1:3" x14ac:dyDescent="0.35">
      <c r="A114" s="28" t="s">
        <v>61</v>
      </c>
      <c r="B114" s="28" t="s">
        <v>59</v>
      </c>
      <c r="C114" s="28">
        <v>440</v>
      </c>
    </row>
    <row r="115" spans="1:3" x14ac:dyDescent="0.35">
      <c r="A115" s="28" t="s">
        <v>61</v>
      </c>
      <c r="B115" s="28" t="s">
        <v>59</v>
      </c>
      <c r="C115" s="28">
        <v>415</v>
      </c>
    </row>
    <row r="116" spans="1:3" x14ac:dyDescent="0.35">
      <c r="A116" s="28" t="s">
        <v>63</v>
      </c>
      <c r="B116" s="28" t="s">
        <v>59</v>
      </c>
      <c r="C116" s="28">
        <v>406</v>
      </c>
    </row>
    <row r="117" spans="1:3" x14ac:dyDescent="0.35">
      <c r="A117" s="28" t="s">
        <v>65</v>
      </c>
      <c r="B117" s="28" t="s">
        <v>59</v>
      </c>
      <c r="C117" s="28">
        <v>400</v>
      </c>
    </row>
    <row r="118" spans="1:3" x14ac:dyDescent="0.35">
      <c r="A118" s="28" t="s">
        <v>63</v>
      </c>
      <c r="B118" s="28" t="s">
        <v>59</v>
      </c>
      <c r="C118" s="28">
        <v>398</v>
      </c>
    </row>
    <row r="119" spans="1:3" x14ac:dyDescent="0.35">
      <c r="A119" s="28" t="s">
        <v>58</v>
      </c>
      <c r="B119" s="28" t="s">
        <v>59</v>
      </c>
      <c r="C119" s="28">
        <v>395</v>
      </c>
    </row>
    <row r="120" spans="1:3" x14ac:dyDescent="0.35">
      <c r="A120" s="28" t="s">
        <v>58</v>
      </c>
      <c r="B120" s="28" t="s">
        <v>59</v>
      </c>
      <c r="C120" s="28">
        <v>393</v>
      </c>
    </row>
    <row r="121" spans="1:3" x14ac:dyDescent="0.35">
      <c r="A121" s="28" t="s">
        <v>67</v>
      </c>
      <c r="B121" s="28" t="s">
        <v>68</v>
      </c>
      <c r="C121" s="28">
        <v>393</v>
      </c>
    </row>
    <row r="122" spans="1:3" x14ac:dyDescent="0.35">
      <c r="A122" s="28" t="s">
        <v>67</v>
      </c>
      <c r="B122" s="28" t="s">
        <v>59</v>
      </c>
      <c r="C122" s="28">
        <v>390</v>
      </c>
    </row>
    <row r="123" spans="1:3" x14ac:dyDescent="0.35">
      <c r="A123" s="28" t="s">
        <v>65</v>
      </c>
      <c r="B123" s="28" t="s">
        <v>68</v>
      </c>
      <c r="C123" s="28">
        <v>387</v>
      </c>
    </row>
    <row r="124" spans="1:3" x14ac:dyDescent="0.35">
      <c r="A124" s="28" t="s">
        <v>64</v>
      </c>
      <c r="B124" s="28" t="s">
        <v>59</v>
      </c>
      <c r="C124" s="28">
        <v>384</v>
      </c>
    </row>
    <row r="125" spans="1:3" x14ac:dyDescent="0.35">
      <c r="A125" s="28" t="s">
        <v>65</v>
      </c>
      <c r="B125" s="28" t="s">
        <v>59</v>
      </c>
      <c r="C125" s="28">
        <v>370</v>
      </c>
    </row>
    <row r="126" spans="1:3" x14ac:dyDescent="0.35">
      <c r="A126" s="28" t="s">
        <v>64</v>
      </c>
      <c r="B126" s="28" t="s">
        <v>59</v>
      </c>
      <c r="C126" s="28">
        <v>369</v>
      </c>
    </row>
    <row r="127" spans="1:3" x14ac:dyDescent="0.35">
      <c r="A127" s="28" t="s">
        <v>61</v>
      </c>
      <c r="B127" s="28" t="s">
        <v>59</v>
      </c>
      <c r="C127" s="28">
        <v>367</v>
      </c>
    </row>
    <row r="128" spans="1:3" x14ac:dyDescent="0.35">
      <c r="A128" s="28" t="s">
        <v>63</v>
      </c>
      <c r="B128" s="28" t="s">
        <v>59</v>
      </c>
      <c r="C128" s="28">
        <v>364</v>
      </c>
    </row>
    <row r="129" spans="1:3" x14ac:dyDescent="0.35">
      <c r="A129" s="28" t="s">
        <v>64</v>
      </c>
      <c r="B129" s="28" t="s">
        <v>59</v>
      </c>
      <c r="C129" s="28">
        <v>361</v>
      </c>
    </row>
    <row r="130" spans="1:3" x14ac:dyDescent="0.35">
      <c r="A130" s="28" t="s">
        <v>64</v>
      </c>
      <c r="B130" s="28" t="s">
        <v>68</v>
      </c>
      <c r="C130" s="28">
        <v>359</v>
      </c>
    </row>
    <row r="131" spans="1:3" x14ac:dyDescent="0.35">
      <c r="A131" s="28" t="s">
        <v>66</v>
      </c>
      <c r="B131" s="28" t="s">
        <v>59</v>
      </c>
      <c r="C131" s="28">
        <v>358</v>
      </c>
    </row>
    <row r="132" spans="1:3" x14ac:dyDescent="0.35">
      <c r="A132" s="28" t="s">
        <v>58</v>
      </c>
      <c r="B132" s="28" t="s">
        <v>59</v>
      </c>
      <c r="C132" s="28">
        <v>349</v>
      </c>
    </row>
    <row r="133" spans="1:3" x14ac:dyDescent="0.35">
      <c r="A133" s="28" t="s">
        <v>58</v>
      </c>
      <c r="B133" s="28" t="s">
        <v>59</v>
      </c>
      <c r="C133" s="28">
        <v>338</v>
      </c>
    </row>
    <row r="134" spans="1:3" x14ac:dyDescent="0.35">
      <c r="A134" s="28" t="s">
        <v>65</v>
      </c>
      <c r="B134" s="28" t="s">
        <v>59</v>
      </c>
      <c r="C134" s="28">
        <v>327</v>
      </c>
    </row>
    <row r="135" spans="1:3" x14ac:dyDescent="0.35">
      <c r="A135" s="28" t="s">
        <v>58</v>
      </c>
      <c r="B135" s="28" t="s">
        <v>59</v>
      </c>
      <c r="C135" s="28">
        <v>317</v>
      </c>
    </row>
    <row r="136" spans="1:3" x14ac:dyDescent="0.35">
      <c r="A136" s="28" t="s">
        <v>65</v>
      </c>
      <c r="B136" s="28" t="s">
        <v>59</v>
      </c>
      <c r="C136" s="28">
        <v>316</v>
      </c>
    </row>
    <row r="137" spans="1:3" x14ac:dyDescent="0.35">
      <c r="A137" s="28" t="s">
        <v>58</v>
      </c>
      <c r="B137" s="28" t="s">
        <v>59</v>
      </c>
      <c r="C137" s="28">
        <v>315</v>
      </c>
    </row>
    <row r="138" spans="1:3" x14ac:dyDescent="0.35">
      <c r="A138" s="28" t="s">
        <v>67</v>
      </c>
      <c r="B138" s="28" t="s">
        <v>59</v>
      </c>
      <c r="C138" s="28">
        <v>314</v>
      </c>
    </row>
    <row r="139" spans="1:3" x14ac:dyDescent="0.35">
      <c r="A139" s="28" t="s">
        <v>66</v>
      </c>
      <c r="B139" s="28" t="s">
        <v>59</v>
      </c>
      <c r="C139" s="28">
        <v>313</v>
      </c>
    </row>
    <row r="140" spans="1:3" x14ac:dyDescent="0.35">
      <c r="A140" s="28" t="s">
        <v>61</v>
      </c>
      <c r="B140" s="28" t="s">
        <v>72</v>
      </c>
      <c r="C140" s="28">
        <v>310</v>
      </c>
    </row>
    <row r="141" spans="1:3" x14ac:dyDescent="0.35">
      <c r="A141" s="28" t="s">
        <v>67</v>
      </c>
      <c r="B141" s="28" t="s">
        <v>59</v>
      </c>
      <c r="C141" s="28">
        <v>309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50"/>
  <sheetViews>
    <sheetView showGridLines="0" workbookViewId="0"/>
  </sheetViews>
  <sheetFormatPr defaultRowHeight="14.5" x14ac:dyDescent="0.35"/>
  <cols>
    <col min="4" max="4" width="13.54296875" customWidth="1"/>
    <col min="5" max="5" width="12.26953125" customWidth="1"/>
    <col min="6" max="6" width="12.54296875" customWidth="1"/>
    <col min="7" max="7" width="14.1796875" customWidth="1"/>
    <col min="8" max="8" width="11.453125" customWidth="1"/>
    <col min="9" max="9" width="14.54296875" customWidth="1"/>
  </cols>
  <sheetData>
    <row r="1" spans="1:13" x14ac:dyDescent="0.35">
      <c r="A1" s="93" t="s">
        <v>34</v>
      </c>
      <c r="B1" s="93" t="s">
        <v>35</v>
      </c>
      <c r="C1" s="93" t="s">
        <v>36</v>
      </c>
      <c r="D1" s="93" t="s">
        <v>37</v>
      </c>
      <c r="E1" s="93" t="s">
        <v>38</v>
      </c>
      <c r="F1" s="92" t="s">
        <v>52</v>
      </c>
      <c r="G1" s="92" t="s">
        <v>53</v>
      </c>
      <c r="H1" s="92" t="s">
        <v>54</v>
      </c>
      <c r="I1" s="92" t="s">
        <v>55</v>
      </c>
      <c r="J1" s="20">
        <v>1</v>
      </c>
      <c r="K1" s="21" t="s">
        <v>39</v>
      </c>
      <c r="L1" s="22"/>
      <c r="M1" s="22"/>
    </row>
    <row r="2" spans="1:13" x14ac:dyDescent="0.35">
      <c r="A2" s="23" t="s">
        <v>40</v>
      </c>
      <c r="B2" s="23" t="s">
        <v>41</v>
      </c>
      <c r="C2" s="24">
        <v>2091</v>
      </c>
      <c r="D2" s="24">
        <v>4233</v>
      </c>
      <c r="E2" s="24">
        <v>2142</v>
      </c>
      <c r="F2" s="25">
        <f>COUNTIF(A2:A50,"Bulb")</f>
        <v>16</v>
      </c>
      <c r="G2" s="26">
        <f>COUNTIFS(A2:A50,"Bulb",B2:B50,"Philips")</f>
        <v>6</v>
      </c>
      <c r="H2" s="26">
        <f>SUMIF(A2:A50,"Bulb",E2:E50)</f>
        <v>24547</v>
      </c>
      <c r="I2" s="26">
        <f>SUMIFS(E2:E50,A2:A50,"Bulb",B2:B50,"Philips")</f>
        <v>15591</v>
      </c>
      <c r="J2" s="20">
        <v>2</v>
      </c>
      <c r="K2" s="21" t="s">
        <v>42</v>
      </c>
      <c r="L2" s="22"/>
      <c r="M2" s="22"/>
    </row>
    <row r="3" spans="1:13" x14ac:dyDescent="0.35">
      <c r="A3" s="23" t="s">
        <v>43</v>
      </c>
      <c r="B3" s="23" t="s">
        <v>44</v>
      </c>
      <c r="C3" s="24">
        <v>4474</v>
      </c>
      <c r="D3" s="24">
        <v>5780</v>
      </c>
      <c r="E3" s="24">
        <v>1306</v>
      </c>
      <c r="F3" s="22"/>
      <c r="G3" s="22"/>
      <c r="H3" s="22"/>
      <c r="I3" s="22"/>
      <c r="J3" s="20">
        <v>3</v>
      </c>
      <c r="K3" s="21" t="s">
        <v>45</v>
      </c>
      <c r="L3" s="22"/>
      <c r="M3" s="22"/>
    </row>
    <row r="4" spans="1:13" x14ac:dyDescent="0.35">
      <c r="A4" s="23" t="s">
        <v>46</v>
      </c>
      <c r="B4" s="23" t="s">
        <v>47</v>
      </c>
      <c r="C4" s="24">
        <v>1710</v>
      </c>
      <c r="D4" s="24">
        <v>4667</v>
      </c>
      <c r="E4" s="24">
        <v>2957</v>
      </c>
      <c r="F4" s="22"/>
      <c r="G4" s="22"/>
      <c r="H4" s="22"/>
      <c r="I4" s="22"/>
      <c r="J4" s="20">
        <v>4</v>
      </c>
      <c r="K4" s="21" t="s">
        <v>48</v>
      </c>
      <c r="L4" s="22"/>
      <c r="M4" s="22"/>
    </row>
    <row r="5" spans="1:13" x14ac:dyDescent="0.35">
      <c r="A5" s="23" t="s">
        <v>49</v>
      </c>
      <c r="B5" s="23" t="s">
        <v>47</v>
      </c>
      <c r="C5" s="24">
        <v>2662</v>
      </c>
      <c r="D5" s="24">
        <v>6642</v>
      </c>
      <c r="E5" s="24">
        <v>3980</v>
      </c>
      <c r="F5" s="22"/>
      <c r="G5" s="22"/>
      <c r="H5" s="22"/>
      <c r="I5" s="22"/>
      <c r="J5" s="22"/>
      <c r="K5" s="22"/>
      <c r="L5" s="22"/>
      <c r="M5" s="22"/>
    </row>
    <row r="6" spans="1:13" x14ac:dyDescent="0.35">
      <c r="A6" s="23" t="s">
        <v>40</v>
      </c>
      <c r="B6" s="23" t="s">
        <v>47</v>
      </c>
      <c r="C6" s="24">
        <v>3869</v>
      </c>
      <c r="D6" s="24">
        <v>5481</v>
      </c>
      <c r="E6" s="24">
        <v>1612</v>
      </c>
      <c r="F6" s="22"/>
      <c r="G6" s="22"/>
      <c r="H6" s="22"/>
      <c r="I6" s="22"/>
      <c r="J6" s="22"/>
      <c r="K6" s="22"/>
      <c r="L6" s="22"/>
      <c r="M6" s="22"/>
    </row>
    <row r="7" spans="1:13" x14ac:dyDescent="0.35">
      <c r="A7" s="23" t="s">
        <v>46</v>
      </c>
      <c r="B7" s="23" t="s">
        <v>44</v>
      </c>
      <c r="C7" s="24">
        <v>2313</v>
      </c>
      <c r="D7" s="24">
        <v>4720</v>
      </c>
      <c r="E7" s="24">
        <v>2407</v>
      </c>
      <c r="F7" s="22"/>
      <c r="G7" s="22"/>
      <c r="H7" s="22"/>
      <c r="I7" s="22"/>
      <c r="J7" s="22"/>
      <c r="K7" s="22"/>
      <c r="L7" s="22"/>
      <c r="M7" s="22"/>
    </row>
    <row r="8" spans="1:13" x14ac:dyDescent="0.35">
      <c r="A8" s="23" t="s">
        <v>46</v>
      </c>
      <c r="B8" s="23" t="s">
        <v>44</v>
      </c>
      <c r="C8" s="24">
        <v>3937</v>
      </c>
      <c r="D8" s="24">
        <v>6038</v>
      </c>
      <c r="E8" s="24">
        <v>2101</v>
      </c>
      <c r="F8" s="22"/>
      <c r="G8" s="22"/>
      <c r="H8" s="22"/>
      <c r="I8" s="22"/>
      <c r="J8" s="22"/>
      <c r="K8" s="22"/>
      <c r="L8" s="22"/>
      <c r="M8" s="22"/>
    </row>
    <row r="9" spans="1:13" x14ac:dyDescent="0.35">
      <c r="A9" s="23" t="s">
        <v>49</v>
      </c>
      <c r="B9" s="23" t="s">
        <v>44</v>
      </c>
      <c r="C9" s="24">
        <v>2894</v>
      </c>
      <c r="D9" s="24">
        <v>5746</v>
      </c>
      <c r="E9" s="24">
        <v>2852</v>
      </c>
      <c r="F9" s="22"/>
      <c r="G9" s="22"/>
      <c r="H9" s="22"/>
      <c r="I9" s="22"/>
      <c r="J9" s="22"/>
      <c r="K9" s="22"/>
      <c r="L9" s="22"/>
      <c r="M9" s="22"/>
    </row>
    <row r="10" spans="1:13" x14ac:dyDescent="0.35">
      <c r="A10" s="23" t="s">
        <v>40</v>
      </c>
      <c r="B10" s="23" t="s">
        <v>44</v>
      </c>
      <c r="C10" s="24">
        <v>2764</v>
      </c>
      <c r="D10" s="24">
        <v>2774</v>
      </c>
      <c r="E10" s="24">
        <v>10</v>
      </c>
      <c r="F10" s="22"/>
      <c r="G10" s="22"/>
      <c r="H10" s="22"/>
      <c r="I10" s="22"/>
      <c r="J10" s="22"/>
      <c r="K10" s="22"/>
      <c r="L10" s="22"/>
      <c r="M10" s="22"/>
    </row>
    <row r="11" spans="1:13" x14ac:dyDescent="0.35">
      <c r="A11" s="23" t="s">
        <v>43</v>
      </c>
      <c r="B11" s="23" t="s">
        <v>47</v>
      </c>
      <c r="C11" s="24">
        <v>3250</v>
      </c>
      <c r="D11" s="24">
        <v>3652</v>
      </c>
      <c r="E11" s="24">
        <v>402</v>
      </c>
      <c r="F11" s="22"/>
      <c r="G11" s="22"/>
      <c r="H11" s="22"/>
      <c r="I11" s="22"/>
      <c r="J11" s="22"/>
      <c r="K11" s="22"/>
      <c r="L11" s="22"/>
      <c r="M11" s="22"/>
    </row>
    <row r="12" spans="1:13" x14ac:dyDescent="0.35">
      <c r="A12" s="23" t="s">
        <v>40</v>
      </c>
      <c r="B12" s="23" t="s">
        <v>41</v>
      </c>
      <c r="C12" s="24">
        <v>1612</v>
      </c>
      <c r="D12" s="24">
        <v>6090</v>
      </c>
      <c r="E12" s="24">
        <v>4478</v>
      </c>
      <c r="F12" s="22"/>
      <c r="G12" s="22"/>
      <c r="H12" s="22"/>
      <c r="I12" s="22"/>
      <c r="J12" s="22"/>
      <c r="K12" s="22"/>
      <c r="L12" s="22"/>
      <c r="M12" s="22"/>
    </row>
    <row r="13" spans="1:13" x14ac:dyDescent="0.35">
      <c r="A13" s="23" t="s">
        <v>40</v>
      </c>
      <c r="B13" s="23" t="s">
        <v>44</v>
      </c>
      <c r="C13" s="24">
        <v>1495</v>
      </c>
      <c r="D13" s="24">
        <v>4374</v>
      </c>
      <c r="E13" s="24">
        <v>2879</v>
      </c>
      <c r="F13" s="22"/>
      <c r="G13" s="22"/>
      <c r="H13" s="22"/>
      <c r="I13" s="22"/>
      <c r="J13" s="22"/>
      <c r="K13" s="22"/>
      <c r="L13" s="22"/>
      <c r="M13" s="22"/>
    </row>
    <row r="14" spans="1:13" x14ac:dyDescent="0.35">
      <c r="A14" s="23" t="s">
        <v>40</v>
      </c>
      <c r="B14" s="23" t="s">
        <v>47</v>
      </c>
      <c r="C14" s="24">
        <v>4876</v>
      </c>
      <c r="D14" s="24">
        <v>2269</v>
      </c>
      <c r="E14" s="24">
        <v>-2607</v>
      </c>
      <c r="F14" s="22"/>
      <c r="G14" s="22"/>
      <c r="H14" s="22"/>
      <c r="I14" s="22"/>
      <c r="J14" s="22"/>
      <c r="K14" s="22"/>
      <c r="L14" s="22"/>
      <c r="M14" s="22"/>
    </row>
    <row r="15" spans="1:13" x14ac:dyDescent="0.35">
      <c r="A15" s="23" t="s">
        <v>46</v>
      </c>
      <c r="B15" s="23" t="s">
        <v>47</v>
      </c>
      <c r="C15" s="24">
        <v>3456</v>
      </c>
      <c r="D15" s="24">
        <v>5745</v>
      </c>
      <c r="E15" s="24">
        <v>2289</v>
      </c>
      <c r="F15" s="22"/>
      <c r="G15" s="22"/>
      <c r="H15" s="22"/>
      <c r="I15" s="22"/>
      <c r="J15" s="22"/>
      <c r="K15" s="22"/>
      <c r="L15" s="22"/>
      <c r="M15" s="22"/>
    </row>
    <row r="16" spans="1:13" x14ac:dyDescent="0.35">
      <c r="A16" s="23" t="s">
        <v>40</v>
      </c>
      <c r="B16" s="23" t="s">
        <v>41</v>
      </c>
      <c r="C16" s="24">
        <v>1807</v>
      </c>
      <c r="D16" s="24">
        <v>4509</v>
      </c>
      <c r="E16" s="24">
        <v>2702</v>
      </c>
      <c r="F16" s="22"/>
      <c r="G16" s="22"/>
      <c r="H16" s="22"/>
      <c r="I16" s="22"/>
      <c r="J16" s="22"/>
      <c r="K16" s="22"/>
      <c r="L16" s="22"/>
      <c r="M16" s="22"/>
    </row>
    <row r="17" spans="1:13" x14ac:dyDescent="0.35">
      <c r="A17" s="23" t="s">
        <v>40</v>
      </c>
      <c r="B17" s="23" t="s">
        <v>41</v>
      </c>
      <c r="C17" s="24">
        <v>4626</v>
      </c>
      <c r="D17" s="24">
        <v>6359</v>
      </c>
      <c r="E17" s="24">
        <v>1733</v>
      </c>
      <c r="F17" s="22"/>
      <c r="G17" s="22"/>
      <c r="H17" s="22"/>
      <c r="I17" s="22"/>
      <c r="J17" s="22"/>
      <c r="K17" s="22"/>
      <c r="L17" s="22"/>
      <c r="M17" s="22"/>
    </row>
    <row r="18" spans="1:13" x14ac:dyDescent="0.35">
      <c r="A18" s="23" t="s">
        <v>43</v>
      </c>
      <c r="B18" s="23" t="s">
        <v>41</v>
      </c>
      <c r="C18" s="24">
        <v>3523</v>
      </c>
      <c r="D18" s="24">
        <v>5427</v>
      </c>
      <c r="E18" s="24">
        <v>1904</v>
      </c>
      <c r="F18" s="22"/>
      <c r="G18" s="22"/>
      <c r="H18" s="22"/>
      <c r="I18" s="22"/>
      <c r="J18" s="22"/>
      <c r="K18" s="22"/>
      <c r="L18" s="22"/>
      <c r="M18" s="22"/>
    </row>
    <row r="19" spans="1:13" x14ac:dyDescent="0.35">
      <c r="A19" s="23" t="s">
        <v>43</v>
      </c>
      <c r="B19" s="23" t="s">
        <v>44</v>
      </c>
      <c r="C19" s="24">
        <v>1016</v>
      </c>
      <c r="D19" s="24">
        <v>6020</v>
      </c>
      <c r="E19" s="24">
        <v>5004</v>
      </c>
      <c r="F19" s="22"/>
      <c r="G19" s="22"/>
      <c r="H19" s="22"/>
      <c r="I19" s="22"/>
      <c r="J19" s="22"/>
      <c r="K19" s="22"/>
      <c r="L19" s="22"/>
      <c r="M19" s="22"/>
    </row>
    <row r="20" spans="1:13" x14ac:dyDescent="0.35">
      <c r="A20" s="23" t="s">
        <v>46</v>
      </c>
      <c r="B20" s="23" t="s">
        <v>47</v>
      </c>
      <c r="C20" s="24">
        <v>3792</v>
      </c>
      <c r="D20" s="24">
        <v>2611</v>
      </c>
      <c r="E20" s="24">
        <v>-1181</v>
      </c>
      <c r="F20" s="22"/>
      <c r="G20" s="22"/>
      <c r="H20" s="22"/>
      <c r="I20" s="22"/>
      <c r="J20" s="22"/>
      <c r="K20" s="22"/>
      <c r="L20" s="22"/>
      <c r="M20" s="22"/>
    </row>
    <row r="21" spans="1:13" x14ac:dyDescent="0.35">
      <c r="A21" s="23" t="s">
        <v>43</v>
      </c>
      <c r="B21" s="23" t="s">
        <v>47</v>
      </c>
      <c r="C21" s="24">
        <v>1691</v>
      </c>
      <c r="D21" s="24">
        <v>6430</v>
      </c>
      <c r="E21" s="24">
        <v>4739</v>
      </c>
      <c r="F21" s="22"/>
      <c r="G21" s="22"/>
      <c r="H21" s="22"/>
      <c r="I21" s="22"/>
      <c r="J21" s="22"/>
      <c r="K21" s="22"/>
      <c r="L21" s="22"/>
      <c r="M21" s="22"/>
    </row>
    <row r="22" spans="1:13" x14ac:dyDescent="0.35">
      <c r="A22" s="23" t="s">
        <v>43</v>
      </c>
      <c r="B22" s="23" t="s">
        <v>47</v>
      </c>
      <c r="C22" s="24">
        <v>3021</v>
      </c>
      <c r="D22" s="24">
        <v>4974</v>
      </c>
      <c r="E22" s="24">
        <v>1953</v>
      </c>
      <c r="F22" s="22"/>
      <c r="G22" s="22"/>
      <c r="H22" s="22"/>
      <c r="I22" s="22"/>
      <c r="J22" s="22"/>
      <c r="K22" s="22"/>
      <c r="L22" s="22"/>
      <c r="M22" s="22"/>
    </row>
    <row r="23" spans="1:13" x14ac:dyDescent="0.35">
      <c r="A23" s="23" t="s">
        <v>40</v>
      </c>
      <c r="B23" s="23" t="s">
        <v>44</v>
      </c>
      <c r="C23" s="24">
        <v>1223</v>
      </c>
      <c r="D23" s="24">
        <v>2730</v>
      </c>
      <c r="E23" s="24">
        <v>1507</v>
      </c>
      <c r="F23" s="22"/>
      <c r="G23" s="22"/>
      <c r="H23" s="22"/>
      <c r="I23" s="22"/>
      <c r="J23" s="22"/>
      <c r="K23" s="22"/>
      <c r="L23" s="22"/>
      <c r="M23" s="22"/>
    </row>
    <row r="24" spans="1:13" x14ac:dyDescent="0.35">
      <c r="A24" s="23" t="s">
        <v>43</v>
      </c>
      <c r="B24" s="23" t="s">
        <v>44</v>
      </c>
      <c r="C24" s="24">
        <v>3644</v>
      </c>
      <c r="D24" s="24">
        <v>6596</v>
      </c>
      <c r="E24" s="24">
        <v>2952</v>
      </c>
      <c r="F24" s="22"/>
      <c r="G24" s="22"/>
      <c r="H24" s="22"/>
      <c r="I24" s="22"/>
      <c r="J24" s="22"/>
      <c r="K24" s="22"/>
      <c r="L24" s="22"/>
      <c r="M24" s="22"/>
    </row>
    <row r="25" spans="1:13" x14ac:dyDescent="0.35">
      <c r="A25" s="23" t="s">
        <v>43</v>
      </c>
      <c r="B25" s="23" t="s">
        <v>44</v>
      </c>
      <c r="C25" s="24">
        <v>3691</v>
      </c>
      <c r="D25" s="24">
        <v>2791</v>
      </c>
      <c r="E25" s="24">
        <v>-900</v>
      </c>
      <c r="F25" s="22"/>
      <c r="G25" s="22"/>
      <c r="H25" s="22"/>
      <c r="I25" s="22"/>
      <c r="J25" s="22"/>
      <c r="K25" s="22"/>
      <c r="L25" s="22"/>
      <c r="M25" s="22"/>
    </row>
    <row r="26" spans="1:13" x14ac:dyDescent="0.35">
      <c r="A26" s="23" t="s">
        <v>43</v>
      </c>
      <c r="B26" s="23" t="s">
        <v>44</v>
      </c>
      <c r="C26" s="24">
        <v>1651</v>
      </c>
      <c r="D26" s="24">
        <v>5702</v>
      </c>
      <c r="E26" s="24">
        <v>4051</v>
      </c>
      <c r="F26" s="22"/>
      <c r="G26" s="22"/>
      <c r="H26" s="22"/>
      <c r="I26" s="22"/>
      <c r="J26" s="22"/>
      <c r="K26" s="22"/>
      <c r="L26" s="22"/>
      <c r="M26" s="22"/>
    </row>
    <row r="27" spans="1:13" x14ac:dyDescent="0.35">
      <c r="A27" s="23" t="s">
        <v>40</v>
      </c>
      <c r="B27" s="23" t="s">
        <v>47</v>
      </c>
      <c r="C27" s="24">
        <v>4461</v>
      </c>
      <c r="D27" s="24">
        <v>5634</v>
      </c>
      <c r="E27" s="24">
        <v>1173</v>
      </c>
      <c r="F27" s="22"/>
      <c r="G27" s="22"/>
      <c r="H27" s="22"/>
      <c r="I27" s="22"/>
      <c r="J27" s="22"/>
      <c r="K27" s="22"/>
      <c r="L27" s="22"/>
      <c r="M27" s="22"/>
    </row>
    <row r="28" spans="1:13" x14ac:dyDescent="0.35">
      <c r="A28" s="23" t="s">
        <v>43</v>
      </c>
      <c r="B28" s="23" t="s">
        <v>44</v>
      </c>
      <c r="C28" s="24">
        <v>3269</v>
      </c>
      <c r="D28" s="24">
        <v>6309</v>
      </c>
      <c r="E28" s="24">
        <v>3040</v>
      </c>
      <c r="F28" s="22"/>
      <c r="G28" s="22"/>
      <c r="H28" s="22"/>
      <c r="I28" s="22"/>
      <c r="J28" s="22"/>
      <c r="K28" s="22"/>
      <c r="L28" s="22"/>
      <c r="M28" s="22"/>
    </row>
    <row r="29" spans="1:13" x14ac:dyDescent="0.35">
      <c r="A29" s="23" t="s">
        <v>43</v>
      </c>
      <c r="B29" s="23" t="s">
        <v>44</v>
      </c>
      <c r="C29" s="24">
        <v>4479</v>
      </c>
      <c r="D29" s="24">
        <v>4373</v>
      </c>
      <c r="E29" s="24">
        <v>-106</v>
      </c>
      <c r="F29" s="22"/>
      <c r="G29" s="22"/>
      <c r="H29" s="22"/>
      <c r="I29" s="22"/>
      <c r="J29" s="22"/>
      <c r="K29" s="22"/>
      <c r="L29" s="22"/>
      <c r="M29" s="22"/>
    </row>
    <row r="30" spans="1:13" x14ac:dyDescent="0.35">
      <c r="A30" s="23" t="s">
        <v>43</v>
      </c>
      <c r="B30" s="23" t="s">
        <v>47</v>
      </c>
      <c r="C30" s="24">
        <v>2477</v>
      </c>
      <c r="D30" s="24">
        <v>5854</v>
      </c>
      <c r="E30" s="24">
        <v>3377</v>
      </c>
      <c r="F30" s="22"/>
      <c r="G30" s="22"/>
      <c r="H30" s="22"/>
      <c r="I30" s="22"/>
      <c r="J30" s="22"/>
      <c r="K30" s="22"/>
      <c r="L30" s="22"/>
      <c r="M30" s="22"/>
    </row>
    <row r="31" spans="1:13" x14ac:dyDescent="0.35">
      <c r="A31" s="23" t="s">
        <v>50</v>
      </c>
      <c r="B31" s="23" t="s">
        <v>47</v>
      </c>
      <c r="C31" s="24">
        <v>3705</v>
      </c>
      <c r="D31" s="24">
        <v>3609</v>
      </c>
      <c r="E31" s="24">
        <v>-96</v>
      </c>
      <c r="F31" s="22"/>
      <c r="G31" s="22"/>
      <c r="H31" s="22"/>
      <c r="I31" s="22"/>
      <c r="J31" s="22"/>
      <c r="K31" s="22"/>
      <c r="L31" s="22"/>
      <c r="M31" s="22"/>
    </row>
    <row r="32" spans="1:13" x14ac:dyDescent="0.35">
      <c r="A32" s="23" t="s">
        <v>50</v>
      </c>
      <c r="B32" s="23" t="s">
        <v>41</v>
      </c>
      <c r="C32" s="24">
        <v>1893</v>
      </c>
      <c r="D32" s="24">
        <v>5992</v>
      </c>
      <c r="E32" s="24">
        <v>4099</v>
      </c>
      <c r="F32" s="22"/>
      <c r="G32" s="22"/>
      <c r="H32" s="22"/>
      <c r="I32" s="22"/>
      <c r="J32" s="22"/>
      <c r="K32" s="22"/>
      <c r="L32" s="22"/>
      <c r="M32" s="22"/>
    </row>
    <row r="33" spans="1:13" x14ac:dyDescent="0.35">
      <c r="A33" s="23" t="s">
        <v>50</v>
      </c>
      <c r="B33" s="23" t="s">
        <v>41</v>
      </c>
      <c r="C33" s="24">
        <v>1678</v>
      </c>
      <c r="D33" s="24">
        <v>2667</v>
      </c>
      <c r="E33" s="24">
        <v>989</v>
      </c>
      <c r="F33" s="22"/>
      <c r="G33" s="22"/>
      <c r="H33" s="22"/>
      <c r="I33" s="22"/>
      <c r="J33" s="22"/>
      <c r="K33" s="22"/>
      <c r="L33" s="22"/>
      <c r="M33" s="22"/>
    </row>
    <row r="34" spans="1:13" x14ac:dyDescent="0.35">
      <c r="A34" s="23" t="s">
        <v>50</v>
      </c>
      <c r="B34" s="23" t="s">
        <v>41</v>
      </c>
      <c r="C34" s="24">
        <v>4908</v>
      </c>
      <c r="D34" s="24">
        <v>4584</v>
      </c>
      <c r="E34" s="24">
        <v>-324</v>
      </c>
      <c r="F34" s="22"/>
      <c r="G34" s="22"/>
      <c r="H34" s="22"/>
      <c r="I34" s="22"/>
      <c r="J34" s="22"/>
      <c r="K34" s="22"/>
      <c r="L34" s="22"/>
      <c r="M34" s="22"/>
    </row>
    <row r="35" spans="1:13" x14ac:dyDescent="0.35">
      <c r="A35" s="23" t="s">
        <v>40</v>
      </c>
      <c r="B35" s="23" t="s">
        <v>44</v>
      </c>
      <c r="C35" s="24">
        <v>3624</v>
      </c>
      <c r="D35" s="24">
        <v>2272</v>
      </c>
      <c r="E35" s="24">
        <v>-1352</v>
      </c>
      <c r="F35" s="22"/>
      <c r="G35" s="22"/>
      <c r="H35" s="22"/>
      <c r="I35" s="22"/>
      <c r="J35" s="22"/>
      <c r="K35" s="22"/>
      <c r="L35" s="22"/>
      <c r="M35" s="22"/>
    </row>
    <row r="36" spans="1:13" x14ac:dyDescent="0.35">
      <c r="A36" s="23" t="s">
        <v>50</v>
      </c>
      <c r="B36" s="23" t="s">
        <v>47</v>
      </c>
      <c r="C36" s="24">
        <v>4657</v>
      </c>
      <c r="D36" s="24">
        <v>2327</v>
      </c>
      <c r="E36" s="24">
        <v>-2330</v>
      </c>
      <c r="F36" s="22"/>
      <c r="G36" s="22"/>
      <c r="H36" s="22"/>
      <c r="I36" s="22"/>
      <c r="J36" s="22"/>
      <c r="K36" s="22"/>
      <c r="L36" s="22"/>
      <c r="M36" s="22"/>
    </row>
    <row r="37" spans="1:13" x14ac:dyDescent="0.35">
      <c r="A37" s="23" t="s">
        <v>51</v>
      </c>
      <c r="B37" s="23" t="s">
        <v>47</v>
      </c>
      <c r="C37" s="24">
        <v>1098</v>
      </c>
      <c r="D37" s="24">
        <v>4173</v>
      </c>
      <c r="E37" s="24">
        <v>3075</v>
      </c>
      <c r="F37" s="22"/>
      <c r="G37" s="22"/>
      <c r="H37" s="22"/>
      <c r="I37" s="22"/>
      <c r="J37" s="22"/>
      <c r="K37" s="22"/>
      <c r="L37" s="22"/>
      <c r="M37" s="22"/>
    </row>
    <row r="38" spans="1:13" x14ac:dyDescent="0.35">
      <c r="A38" s="23" t="s">
        <v>51</v>
      </c>
      <c r="B38" s="23" t="s">
        <v>47</v>
      </c>
      <c r="C38" s="24">
        <v>1871</v>
      </c>
      <c r="D38" s="24">
        <v>3559</v>
      </c>
      <c r="E38" s="24">
        <v>1688</v>
      </c>
      <c r="F38" s="22"/>
      <c r="G38" s="22"/>
      <c r="H38" s="22"/>
      <c r="I38" s="22"/>
      <c r="J38" s="22"/>
      <c r="K38" s="22"/>
      <c r="L38" s="22"/>
      <c r="M38" s="22"/>
    </row>
    <row r="39" spans="1:13" x14ac:dyDescent="0.35">
      <c r="A39" s="23" t="s">
        <v>51</v>
      </c>
      <c r="B39" s="23" t="s">
        <v>44</v>
      </c>
      <c r="C39" s="24">
        <v>1260</v>
      </c>
      <c r="D39" s="24">
        <v>4010</v>
      </c>
      <c r="E39" s="24">
        <v>2750</v>
      </c>
      <c r="F39" s="22"/>
      <c r="G39" s="22"/>
      <c r="H39" s="22"/>
      <c r="I39" s="22"/>
      <c r="J39" s="22"/>
      <c r="K39" s="22"/>
      <c r="L39" s="22"/>
      <c r="M39" s="22"/>
    </row>
    <row r="40" spans="1:13" x14ac:dyDescent="0.35">
      <c r="A40" s="23" t="s">
        <v>40</v>
      </c>
      <c r="B40" s="23" t="s">
        <v>44</v>
      </c>
      <c r="C40" s="24">
        <v>3721</v>
      </c>
      <c r="D40" s="24">
        <v>5914</v>
      </c>
      <c r="E40" s="24">
        <v>2193</v>
      </c>
      <c r="F40" s="22"/>
      <c r="G40" s="22"/>
      <c r="H40" s="22"/>
      <c r="I40" s="22"/>
      <c r="J40" s="22"/>
      <c r="K40" s="22"/>
      <c r="L40" s="22"/>
      <c r="M40" s="22"/>
    </row>
    <row r="41" spans="1:13" x14ac:dyDescent="0.35">
      <c r="A41" s="23" t="s">
        <v>43</v>
      </c>
      <c r="B41" s="23" t="s">
        <v>44</v>
      </c>
      <c r="C41" s="24">
        <v>1866</v>
      </c>
      <c r="D41" s="24">
        <v>2853</v>
      </c>
      <c r="E41" s="24">
        <v>987</v>
      </c>
      <c r="F41" s="22"/>
      <c r="G41" s="22"/>
      <c r="H41" s="22"/>
      <c r="I41" s="22"/>
      <c r="J41" s="22"/>
      <c r="K41" s="22"/>
      <c r="L41" s="22"/>
      <c r="M41" s="22"/>
    </row>
    <row r="42" spans="1:13" x14ac:dyDescent="0.35">
      <c r="A42" s="23" t="s">
        <v>49</v>
      </c>
      <c r="B42" s="23" t="s">
        <v>44</v>
      </c>
      <c r="C42" s="24">
        <v>4020</v>
      </c>
      <c r="D42" s="24">
        <v>3445</v>
      </c>
      <c r="E42" s="24">
        <v>-575</v>
      </c>
      <c r="F42" s="22"/>
      <c r="G42" s="22"/>
      <c r="H42" s="22"/>
      <c r="I42" s="22"/>
      <c r="J42" s="22"/>
      <c r="K42" s="22"/>
      <c r="L42" s="22"/>
      <c r="M42" s="22"/>
    </row>
    <row r="43" spans="1:13" x14ac:dyDescent="0.35">
      <c r="A43" s="23" t="s">
        <v>40</v>
      </c>
      <c r="B43" s="23" t="s">
        <v>47</v>
      </c>
      <c r="C43" s="24">
        <v>4684</v>
      </c>
      <c r="D43" s="24">
        <v>4941</v>
      </c>
      <c r="E43" s="24">
        <v>257</v>
      </c>
      <c r="F43" s="22"/>
      <c r="G43" s="22"/>
      <c r="H43" s="22"/>
      <c r="I43" s="22"/>
      <c r="J43" s="22"/>
      <c r="K43" s="22"/>
      <c r="L43" s="22"/>
      <c r="M43" s="22"/>
    </row>
    <row r="44" spans="1:13" x14ac:dyDescent="0.35">
      <c r="A44" s="23" t="s">
        <v>49</v>
      </c>
      <c r="B44" s="23" t="s">
        <v>44</v>
      </c>
      <c r="C44" s="24">
        <v>1265</v>
      </c>
      <c r="D44" s="24">
        <v>4344</v>
      </c>
      <c r="E44" s="24">
        <v>3079</v>
      </c>
      <c r="F44" s="22"/>
      <c r="G44" s="22"/>
      <c r="H44" s="22"/>
      <c r="I44" s="22"/>
      <c r="J44" s="22"/>
      <c r="K44" s="22"/>
      <c r="L44" s="22"/>
      <c r="M44" s="22"/>
    </row>
    <row r="45" spans="1:13" x14ac:dyDescent="0.35">
      <c r="A45" s="23" t="s">
        <v>40</v>
      </c>
      <c r="B45" s="23" t="s">
        <v>44</v>
      </c>
      <c r="C45" s="24">
        <v>2195</v>
      </c>
      <c r="D45" s="24">
        <v>5479</v>
      </c>
      <c r="E45" s="24">
        <v>3284</v>
      </c>
      <c r="F45" s="22"/>
      <c r="G45" s="22"/>
      <c r="H45" s="22"/>
      <c r="I45" s="22"/>
      <c r="J45" s="22"/>
      <c r="K45" s="22"/>
      <c r="L45" s="22"/>
      <c r="M45" s="22"/>
    </row>
    <row r="46" spans="1:13" x14ac:dyDescent="0.35">
      <c r="A46" s="23" t="s">
        <v>50</v>
      </c>
      <c r="B46" s="23" t="s">
        <v>47</v>
      </c>
      <c r="C46" s="24">
        <v>4940</v>
      </c>
      <c r="D46" s="24">
        <v>3374</v>
      </c>
      <c r="E46" s="24">
        <v>-1566</v>
      </c>
      <c r="F46" s="22"/>
      <c r="G46" s="22"/>
      <c r="H46" s="22"/>
      <c r="I46" s="22"/>
      <c r="J46" s="22"/>
      <c r="K46" s="22"/>
      <c r="L46" s="22"/>
      <c r="M46" s="22"/>
    </row>
    <row r="47" spans="1:13" x14ac:dyDescent="0.35">
      <c r="A47" s="23" t="s">
        <v>51</v>
      </c>
      <c r="B47" s="23" t="s">
        <v>47</v>
      </c>
      <c r="C47" s="24">
        <v>2258</v>
      </c>
      <c r="D47" s="24">
        <v>3461</v>
      </c>
      <c r="E47" s="24">
        <v>1203</v>
      </c>
      <c r="F47" s="22"/>
      <c r="G47" s="22"/>
      <c r="H47" s="22"/>
      <c r="I47" s="22"/>
      <c r="J47" s="22"/>
      <c r="K47" s="22"/>
      <c r="L47" s="22"/>
      <c r="M47" s="22"/>
    </row>
    <row r="48" spans="1:13" x14ac:dyDescent="0.35">
      <c r="A48" s="23" t="s">
        <v>40</v>
      </c>
      <c r="B48" s="23" t="s">
        <v>41</v>
      </c>
      <c r="C48" s="24">
        <v>3427</v>
      </c>
      <c r="D48" s="24">
        <v>3530</v>
      </c>
      <c r="E48" s="24">
        <v>103</v>
      </c>
      <c r="F48" s="22"/>
      <c r="G48" s="22"/>
      <c r="H48" s="22"/>
      <c r="I48" s="22"/>
      <c r="J48" s="22"/>
      <c r="K48" s="22"/>
      <c r="L48" s="22"/>
      <c r="M48" s="22"/>
    </row>
    <row r="49" spans="1:13" x14ac:dyDescent="0.35">
      <c r="A49" s="23" t="s">
        <v>50</v>
      </c>
      <c r="B49" s="23" t="s">
        <v>41</v>
      </c>
      <c r="C49" s="24">
        <v>3271</v>
      </c>
      <c r="D49" s="24">
        <v>5447</v>
      </c>
      <c r="E49" s="24">
        <v>2176</v>
      </c>
      <c r="F49" s="22"/>
      <c r="G49" s="22"/>
      <c r="H49" s="22"/>
      <c r="I49" s="22"/>
      <c r="J49" s="22"/>
      <c r="K49" s="22"/>
      <c r="L49" s="22"/>
      <c r="M49" s="22"/>
    </row>
    <row r="50" spans="1:13" x14ac:dyDescent="0.35">
      <c r="A50" s="23" t="s">
        <v>40</v>
      </c>
      <c r="B50" s="23" t="s">
        <v>41</v>
      </c>
      <c r="C50" s="24">
        <v>1561</v>
      </c>
      <c r="D50" s="24">
        <v>5994</v>
      </c>
      <c r="E50" s="24">
        <v>4433</v>
      </c>
      <c r="F50" s="22"/>
      <c r="G50" s="22"/>
      <c r="H50" s="22"/>
      <c r="I50" s="22"/>
      <c r="J50" s="22"/>
      <c r="K50" s="22"/>
      <c r="L50" s="22"/>
      <c r="M50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26"/>
  <sheetViews>
    <sheetView showGridLines="0" workbookViewId="0"/>
  </sheetViews>
  <sheetFormatPr defaultRowHeight="14.5" x14ac:dyDescent="0.35"/>
  <cols>
    <col min="1" max="1" width="8" style="22" customWidth="1"/>
    <col min="2" max="2" width="9.54296875" style="22" customWidth="1"/>
    <col min="3" max="3" width="9.453125" style="22" customWidth="1"/>
    <col min="4" max="4" width="9.81640625" style="22" customWidth="1"/>
    <col min="5" max="5" width="9.1796875" style="22"/>
    <col min="6" max="6" width="16.7265625" style="33" customWidth="1"/>
    <col min="7" max="7" width="10.7265625" style="22" bestFit="1" customWidth="1"/>
    <col min="8" max="261" width="9.1796875" style="22"/>
    <col min="262" max="262" width="16.7265625" style="22" customWidth="1"/>
    <col min="263" max="263" width="9.81640625" style="22" bestFit="1" customWidth="1"/>
    <col min="264" max="517" width="9.1796875" style="22"/>
    <col min="518" max="518" width="16.7265625" style="22" customWidth="1"/>
    <col min="519" max="519" width="9.81640625" style="22" bestFit="1" customWidth="1"/>
    <col min="520" max="773" width="9.1796875" style="22"/>
    <col min="774" max="774" width="16.7265625" style="22" customWidth="1"/>
    <col min="775" max="775" width="9.81640625" style="22" bestFit="1" customWidth="1"/>
    <col min="776" max="1029" width="9.1796875" style="22"/>
    <col min="1030" max="1030" width="16.7265625" style="22" customWidth="1"/>
    <col min="1031" max="1031" width="9.81640625" style="22" bestFit="1" customWidth="1"/>
    <col min="1032" max="1285" width="9.1796875" style="22"/>
    <col min="1286" max="1286" width="16.7265625" style="22" customWidth="1"/>
    <col min="1287" max="1287" width="9.81640625" style="22" bestFit="1" customWidth="1"/>
    <col min="1288" max="1541" width="9.1796875" style="22"/>
    <col min="1542" max="1542" width="16.7265625" style="22" customWidth="1"/>
    <col min="1543" max="1543" width="9.81640625" style="22" bestFit="1" customWidth="1"/>
    <col min="1544" max="1797" width="9.1796875" style="22"/>
    <col min="1798" max="1798" width="16.7265625" style="22" customWidth="1"/>
    <col min="1799" max="1799" width="9.81640625" style="22" bestFit="1" customWidth="1"/>
    <col min="1800" max="2053" width="9.1796875" style="22"/>
    <col min="2054" max="2054" width="16.7265625" style="22" customWidth="1"/>
    <col min="2055" max="2055" width="9.81640625" style="22" bestFit="1" customWidth="1"/>
    <col min="2056" max="2309" width="9.1796875" style="22"/>
    <col min="2310" max="2310" width="16.7265625" style="22" customWidth="1"/>
    <col min="2311" max="2311" width="9.81640625" style="22" bestFit="1" customWidth="1"/>
    <col min="2312" max="2565" width="9.1796875" style="22"/>
    <col min="2566" max="2566" width="16.7265625" style="22" customWidth="1"/>
    <col min="2567" max="2567" width="9.81640625" style="22" bestFit="1" customWidth="1"/>
    <col min="2568" max="2821" width="9.1796875" style="22"/>
    <col min="2822" max="2822" width="16.7265625" style="22" customWidth="1"/>
    <col min="2823" max="2823" width="9.81640625" style="22" bestFit="1" customWidth="1"/>
    <col min="2824" max="3077" width="9.1796875" style="22"/>
    <col min="3078" max="3078" width="16.7265625" style="22" customWidth="1"/>
    <col min="3079" max="3079" width="9.81640625" style="22" bestFit="1" customWidth="1"/>
    <col min="3080" max="3333" width="9.1796875" style="22"/>
    <col min="3334" max="3334" width="16.7265625" style="22" customWidth="1"/>
    <col min="3335" max="3335" width="9.81640625" style="22" bestFit="1" customWidth="1"/>
    <col min="3336" max="3589" width="9.1796875" style="22"/>
    <col min="3590" max="3590" width="16.7265625" style="22" customWidth="1"/>
    <col min="3591" max="3591" width="9.81640625" style="22" bestFit="1" customWidth="1"/>
    <col min="3592" max="3845" width="9.1796875" style="22"/>
    <col min="3846" max="3846" width="16.7265625" style="22" customWidth="1"/>
    <col min="3847" max="3847" width="9.81640625" style="22" bestFit="1" customWidth="1"/>
    <col min="3848" max="4101" width="9.1796875" style="22"/>
    <col min="4102" max="4102" width="16.7265625" style="22" customWidth="1"/>
    <col min="4103" max="4103" width="9.81640625" style="22" bestFit="1" customWidth="1"/>
    <col min="4104" max="4357" width="9.1796875" style="22"/>
    <col min="4358" max="4358" width="16.7265625" style="22" customWidth="1"/>
    <col min="4359" max="4359" width="9.81640625" style="22" bestFit="1" customWidth="1"/>
    <col min="4360" max="4613" width="9.1796875" style="22"/>
    <col min="4614" max="4614" width="16.7265625" style="22" customWidth="1"/>
    <col min="4615" max="4615" width="9.81640625" style="22" bestFit="1" customWidth="1"/>
    <col min="4616" max="4869" width="9.1796875" style="22"/>
    <col min="4870" max="4870" width="16.7265625" style="22" customWidth="1"/>
    <col min="4871" max="4871" width="9.81640625" style="22" bestFit="1" customWidth="1"/>
    <col min="4872" max="5125" width="9.1796875" style="22"/>
    <col min="5126" max="5126" width="16.7265625" style="22" customWidth="1"/>
    <col min="5127" max="5127" width="9.81640625" style="22" bestFit="1" customWidth="1"/>
    <col min="5128" max="5381" width="9.1796875" style="22"/>
    <col min="5382" max="5382" width="16.7265625" style="22" customWidth="1"/>
    <col min="5383" max="5383" width="9.81640625" style="22" bestFit="1" customWidth="1"/>
    <col min="5384" max="5637" width="9.1796875" style="22"/>
    <col min="5638" max="5638" width="16.7265625" style="22" customWidth="1"/>
    <col min="5639" max="5639" width="9.81640625" style="22" bestFit="1" customWidth="1"/>
    <col min="5640" max="5893" width="9.1796875" style="22"/>
    <col min="5894" max="5894" width="16.7265625" style="22" customWidth="1"/>
    <col min="5895" max="5895" width="9.81640625" style="22" bestFit="1" customWidth="1"/>
    <col min="5896" max="6149" width="9.1796875" style="22"/>
    <col min="6150" max="6150" width="16.7265625" style="22" customWidth="1"/>
    <col min="6151" max="6151" width="9.81640625" style="22" bestFit="1" customWidth="1"/>
    <col min="6152" max="6405" width="9.1796875" style="22"/>
    <col min="6406" max="6406" width="16.7265625" style="22" customWidth="1"/>
    <col min="6407" max="6407" width="9.81640625" style="22" bestFit="1" customWidth="1"/>
    <col min="6408" max="6661" width="9.1796875" style="22"/>
    <col min="6662" max="6662" width="16.7265625" style="22" customWidth="1"/>
    <col min="6663" max="6663" width="9.81640625" style="22" bestFit="1" customWidth="1"/>
    <col min="6664" max="6917" width="9.1796875" style="22"/>
    <col min="6918" max="6918" width="16.7265625" style="22" customWidth="1"/>
    <col min="6919" max="6919" width="9.81640625" style="22" bestFit="1" customWidth="1"/>
    <col min="6920" max="7173" width="9.1796875" style="22"/>
    <col min="7174" max="7174" width="16.7265625" style="22" customWidth="1"/>
    <col min="7175" max="7175" width="9.81640625" style="22" bestFit="1" customWidth="1"/>
    <col min="7176" max="7429" width="9.1796875" style="22"/>
    <col min="7430" max="7430" width="16.7265625" style="22" customWidth="1"/>
    <col min="7431" max="7431" width="9.81640625" style="22" bestFit="1" customWidth="1"/>
    <col min="7432" max="7685" width="9.1796875" style="22"/>
    <col min="7686" max="7686" width="16.7265625" style="22" customWidth="1"/>
    <col min="7687" max="7687" width="9.81640625" style="22" bestFit="1" customWidth="1"/>
    <col min="7688" max="7941" width="9.1796875" style="22"/>
    <col min="7942" max="7942" width="16.7265625" style="22" customWidth="1"/>
    <col min="7943" max="7943" width="9.81640625" style="22" bestFit="1" customWidth="1"/>
    <col min="7944" max="8197" width="9.1796875" style="22"/>
    <col min="8198" max="8198" width="16.7265625" style="22" customWidth="1"/>
    <col min="8199" max="8199" width="9.81640625" style="22" bestFit="1" customWidth="1"/>
    <col min="8200" max="8453" width="9.1796875" style="22"/>
    <col min="8454" max="8454" width="16.7265625" style="22" customWidth="1"/>
    <col min="8455" max="8455" width="9.81640625" style="22" bestFit="1" customWidth="1"/>
    <col min="8456" max="8709" width="9.1796875" style="22"/>
    <col min="8710" max="8710" width="16.7265625" style="22" customWidth="1"/>
    <col min="8711" max="8711" width="9.81640625" style="22" bestFit="1" customWidth="1"/>
    <col min="8712" max="8965" width="9.1796875" style="22"/>
    <col min="8966" max="8966" width="16.7265625" style="22" customWidth="1"/>
    <col min="8967" max="8967" width="9.81640625" style="22" bestFit="1" customWidth="1"/>
    <col min="8968" max="9221" width="9.1796875" style="22"/>
    <col min="9222" max="9222" width="16.7265625" style="22" customWidth="1"/>
    <col min="9223" max="9223" width="9.81640625" style="22" bestFit="1" customWidth="1"/>
    <col min="9224" max="9477" width="9.1796875" style="22"/>
    <col min="9478" max="9478" width="16.7265625" style="22" customWidth="1"/>
    <col min="9479" max="9479" width="9.81640625" style="22" bestFit="1" customWidth="1"/>
    <col min="9480" max="9733" width="9.1796875" style="22"/>
    <col min="9734" max="9734" width="16.7265625" style="22" customWidth="1"/>
    <col min="9735" max="9735" width="9.81640625" style="22" bestFit="1" customWidth="1"/>
    <col min="9736" max="9989" width="9.1796875" style="22"/>
    <col min="9990" max="9990" width="16.7265625" style="22" customWidth="1"/>
    <col min="9991" max="9991" width="9.81640625" style="22" bestFit="1" customWidth="1"/>
    <col min="9992" max="10245" width="9.1796875" style="22"/>
    <col min="10246" max="10246" width="16.7265625" style="22" customWidth="1"/>
    <col min="10247" max="10247" width="9.81640625" style="22" bestFit="1" customWidth="1"/>
    <col min="10248" max="10501" width="9.1796875" style="22"/>
    <col min="10502" max="10502" width="16.7265625" style="22" customWidth="1"/>
    <col min="10503" max="10503" width="9.81640625" style="22" bestFit="1" customWidth="1"/>
    <col min="10504" max="10757" width="9.1796875" style="22"/>
    <col min="10758" max="10758" width="16.7265625" style="22" customWidth="1"/>
    <col min="10759" max="10759" width="9.81640625" style="22" bestFit="1" customWidth="1"/>
    <col min="10760" max="11013" width="9.1796875" style="22"/>
    <col min="11014" max="11014" width="16.7265625" style="22" customWidth="1"/>
    <col min="11015" max="11015" width="9.81640625" style="22" bestFit="1" customWidth="1"/>
    <col min="11016" max="11269" width="9.1796875" style="22"/>
    <col min="11270" max="11270" width="16.7265625" style="22" customWidth="1"/>
    <col min="11271" max="11271" width="9.81640625" style="22" bestFit="1" customWidth="1"/>
    <col min="11272" max="11525" width="9.1796875" style="22"/>
    <col min="11526" max="11526" width="16.7265625" style="22" customWidth="1"/>
    <col min="11527" max="11527" width="9.81640625" style="22" bestFit="1" customWidth="1"/>
    <col min="11528" max="11781" width="9.1796875" style="22"/>
    <col min="11782" max="11782" width="16.7265625" style="22" customWidth="1"/>
    <col min="11783" max="11783" width="9.81640625" style="22" bestFit="1" customWidth="1"/>
    <col min="11784" max="12037" width="9.1796875" style="22"/>
    <col min="12038" max="12038" width="16.7265625" style="22" customWidth="1"/>
    <col min="12039" max="12039" width="9.81640625" style="22" bestFit="1" customWidth="1"/>
    <col min="12040" max="12293" width="9.1796875" style="22"/>
    <col min="12294" max="12294" width="16.7265625" style="22" customWidth="1"/>
    <col min="12295" max="12295" width="9.81640625" style="22" bestFit="1" customWidth="1"/>
    <col min="12296" max="12549" width="9.1796875" style="22"/>
    <col min="12550" max="12550" width="16.7265625" style="22" customWidth="1"/>
    <col min="12551" max="12551" width="9.81640625" style="22" bestFit="1" customWidth="1"/>
    <col min="12552" max="12805" width="9.1796875" style="22"/>
    <col min="12806" max="12806" width="16.7265625" style="22" customWidth="1"/>
    <col min="12807" max="12807" width="9.81640625" style="22" bestFit="1" customWidth="1"/>
    <col min="12808" max="13061" width="9.1796875" style="22"/>
    <col min="13062" max="13062" width="16.7265625" style="22" customWidth="1"/>
    <col min="13063" max="13063" width="9.81640625" style="22" bestFit="1" customWidth="1"/>
    <col min="13064" max="13317" width="9.1796875" style="22"/>
    <col min="13318" max="13318" width="16.7265625" style="22" customWidth="1"/>
    <col min="13319" max="13319" width="9.81640625" style="22" bestFit="1" customWidth="1"/>
    <col min="13320" max="13573" width="9.1796875" style="22"/>
    <col min="13574" max="13574" width="16.7265625" style="22" customWidth="1"/>
    <col min="13575" max="13575" width="9.81640625" style="22" bestFit="1" customWidth="1"/>
    <col min="13576" max="13829" width="9.1796875" style="22"/>
    <col min="13830" max="13830" width="16.7265625" style="22" customWidth="1"/>
    <col min="13831" max="13831" width="9.81640625" style="22" bestFit="1" customWidth="1"/>
    <col min="13832" max="14085" width="9.1796875" style="22"/>
    <col min="14086" max="14086" width="16.7265625" style="22" customWidth="1"/>
    <col min="14087" max="14087" width="9.81640625" style="22" bestFit="1" customWidth="1"/>
    <col min="14088" max="14341" width="9.1796875" style="22"/>
    <col min="14342" max="14342" width="16.7265625" style="22" customWidth="1"/>
    <col min="14343" max="14343" width="9.81640625" style="22" bestFit="1" customWidth="1"/>
    <col min="14344" max="14597" width="9.1796875" style="22"/>
    <col min="14598" max="14598" width="16.7265625" style="22" customWidth="1"/>
    <col min="14599" max="14599" width="9.81640625" style="22" bestFit="1" customWidth="1"/>
    <col min="14600" max="14853" width="9.1796875" style="22"/>
    <col min="14854" max="14854" width="16.7265625" style="22" customWidth="1"/>
    <col min="14855" max="14855" width="9.81640625" style="22" bestFit="1" customWidth="1"/>
    <col min="14856" max="15109" width="9.1796875" style="22"/>
    <col min="15110" max="15110" width="16.7265625" style="22" customWidth="1"/>
    <col min="15111" max="15111" width="9.81640625" style="22" bestFit="1" customWidth="1"/>
    <col min="15112" max="15365" width="9.1796875" style="22"/>
    <col min="15366" max="15366" width="16.7265625" style="22" customWidth="1"/>
    <col min="15367" max="15367" width="9.81640625" style="22" bestFit="1" customWidth="1"/>
    <col min="15368" max="15621" width="9.1796875" style="22"/>
    <col min="15622" max="15622" width="16.7265625" style="22" customWidth="1"/>
    <col min="15623" max="15623" width="9.81640625" style="22" bestFit="1" customWidth="1"/>
    <col min="15624" max="15877" width="9.1796875" style="22"/>
    <col min="15878" max="15878" width="16.7265625" style="22" customWidth="1"/>
    <col min="15879" max="15879" width="9.81640625" style="22" bestFit="1" customWidth="1"/>
    <col min="15880" max="16133" width="9.1796875" style="22"/>
    <col min="16134" max="16134" width="16.7265625" style="22" customWidth="1"/>
    <col min="16135" max="16135" width="9.81640625" style="22" bestFit="1" customWidth="1"/>
    <col min="16136" max="16384" width="9.1796875" style="22"/>
  </cols>
  <sheetData>
    <row r="1" spans="1:14" x14ac:dyDescent="0.35">
      <c r="A1" s="41" t="s">
        <v>73</v>
      </c>
      <c r="B1" s="41" t="s">
        <v>35</v>
      </c>
      <c r="C1" s="41" t="s">
        <v>34</v>
      </c>
      <c r="D1" s="41" t="s">
        <v>75</v>
      </c>
      <c r="F1" s="40" t="s">
        <v>91</v>
      </c>
      <c r="G1" s="34" t="s">
        <v>35</v>
      </c>
      <c r="H1" s="41" t="s">
        <v>51</v>
      </c>
      <c r="I1" s="41" t="s">
        <v>95</v>
      </c>
      <c r="J1" s="41" t="s">
        <v>77</v>
      </c>
      <c r="K1" s="41" t="s">
        <v>78</v>
      </c>
      <c r="L1" s="41" t="s">
        <v>79</v>
      </c>
      <c r="M1" s="41" t="s">
        <v>96</v>
      </c>
      <c r="N1" s="34" t="s">
        <v>80</v>
      </c>
    </row>
    <row r="2" spans="1:14" x14ac:dyDescent="0.35">
      <c r="A2" s="24">
        <v>1</v>
      </c>
      <c r="B2" s="24" t="s">
        <v>76</v>
      </c>
      <c r="C2" s="24" t="s">
        <v>51</v>
      </c>
      <c r="D2" s="24">
        <v>150</v>
      </c>
      <c r="G2" s="23" t="s">
        <v>76</v>
      </c>
      <c r="H2" s="46">
        <f>COUNTIFS($B$2:$B$25,$G2,$C$2:$C$25,H$1)</f>
        <v>3</v>
      </c>
      <c r="I2" s="46">
        <f t="shared" ref="I2:M4" si="0">COUNTIFS($B$2:$B$25,$G2,$C$2:$C$25,I$1)</f>
        <v>1</v>
      </c>
      <c r="J2" s="46">
        <f t="shared" si="0"/>
        <v>1</v>
      </c>
      <c r="K2" s="46">
        <f t="shared" si="0"/>
        <v>1</v>
      </c>
      <c r="L2" s="46">
        <f t="shared" si="0"/>
        <v>1</v>
      </c>
      <c r="M2" s="46">
        <f t="shared" si="0"/>
        <v>1</v>
      </c>
      <c r="N2" s="34">
        <f>SUM(H2:M2)</f>
        <v>8</v>
      </c>
    </row>
    <row r="3" spans="1:14" x14ac:dyDescent="0.35">
      <c r="A3" s="24">
        <f>+A2+1</f>
        <v>2</v>
      </c>
      <c r="B3" s="24" t="s">
        <v>81</v>
      </c>
      <c r="C3" s="24" t="s">
        <v>95</v>
      </c>
      <c r="D3" s="24">
        <v>200</v>
      </c>
      <c r="G3" s="23" t="s">
        <v>81</v>
      </c>
      <c r="H3" s="46">
        <f t="shared" ref="H3:H4" si="1">COUNTIFS($B$2:$B$25,$G3,$C$2:$C$25,H$1)</f>
        <v>1</v>
      </c>
      <c r="I3" s="46">
        <f t="shared" si="0"/>
        <v>2</v>
      </c>
      <c r="J3" s="46">
        <f t="shared" si="0"/>
        <v>1</v>
      </c>
      <c r="K3" s="46">
        <f t="shared" si="0"/>
        <v>1</v>
      </c>
      <c r="L3" s="46">
        <f t="shared" si="0"/>
        <v>1</v>
      </c>
      <c r="M3" s="46">
        <f t="shared" si="0"/>
        <v>2</v>
      </c>
      <c r="N3" s="34">
        <f>SUM(H3:M3)</f>
        <v>8</v>
      </c>
    </row>
    <row r="4" spans="1:14" x14ac:dyDescent="0.35">
      <c r="A4" s="24">
        <f t="shared" ref="A4:A19" si="2">+A3+1</f>
        <v>3</v>
      </c>
      <c r="B4" s="24" t="s">
        <v>82</v>
      </c>
      <c r="C4" s="24" t="s">
        <v>77</v>
      </c>
      <c r="D4" s="24">
        <v>250</v>
      </c>
      <c r="G4" s="23" t="s">
        <v>82</v>
      </c>
      <c r="H4" s="46">
        <f t="shared" si="1"/>
        <v>1</v>
      </c>
      <c r="I4" s="46">
        <f t="shared" si="0"/>
        <v>2</v>
      </c>
      <c r="J4" s="46">
        <f t="shared" si="0"/>
        <v>1</v>
      </c>
      <c r="K4" s="46">
        <f t="shared" si="0"/>
        <v>1</v>
      </c>
      <c r="L4" s="46">
        <f t="shared" si="0"/>
        <v>1</v>
      </c>
      <c r="M4" s="46">
        <f t="shared" si="0"/>
        <v>2</v>
      </c>
      <c r="N4" s="34">
        <f>SUM(H4:M4)</f>
        <v>8</v>
      </c>
    </row>
    <row r="5" spans="1:14" x14ac:dyDescent="0.35">
      <c r="A5" s="24">
        <f t="shared" si="2"/>
        <v>4</v>
      </c>
      <c r="B5" s="24" t="s">
        <v>82</v>
      </c>
      <c r="C5" s="24" t="s">
        <v>95</v>
      </c>
      <c r="D5" s="24">
        <v>550</v>
      </c>
    </row>
    <row r="6" spans="1:14" x14ac:dyDescent="0.35">
      <c r="A6" s="24">
        <f t="shared" si="2"/>
        <v>5</v>
      </c>
      <c r="B6" s="24" t="s">
        <v>76</v>
      </c>
      <c r="C6" s="24" t="s">
        <v>95</v>
      </c>
      <c r="D6" s="24">
        <v>300</v>
      </c>
      <c r="F6" s="40" t="s">
        <v>94</v>
      </c>
      <c r="G6" s="34" t="s">
        <v>35</v>
      </c>
      <c r="H6" s="41" t="s">
        <v>51</v>
      </c>
      <c r="I6" s="41" t="s">
        <v>95</v>
      </c>
      <c r="J6" s="41" t="s">
        <v>77</v>
      </c>
      <c r="K6" s="41" t="s">
        <v>78</v>
      </c>
      <c r="L6" s="41" t="s">
        <v>79</v>
      </c>
      <c r="M6" s="41" t="s">
        <v>96</v>
      </c>
      <c r="N6" s="34" t="s">
        <v>80</v>
      </c>
    </row>
    <row r="7" spans="1:14" x14ac:dyDescent="0.35">
      <c r="A7" s="24">
        <f t="shared" si="2"/>
        <v>6</v>
      </c>
      <c r="B7" s="24" t="s">
        <v>76</v>
      </c>
      <c r="C7" s="24" t="s">
        <v>51</v>
      </c>
      <c r="D7" s="24">
        <v>380</v>
      </c>
      <c r="G7" s="23" t="s">
        <v>76</v>
      </c>
      <c r="H7" s="46">
        <f>SUMIFS($D$2:$D$25,$B$2:$B$25,$G7,$C$2:$C$25,H$6)</f>
        <v>675</v>
      </c>
      <c r="I7" s="46">
        <f t="shared" ref="I7:M9" si="3">SUMIFS($D$2:$D$25,$B$2:$B$25,$G7,$C$2:$C$25,I$6)</f>
        <v>300</v>
      </c>
      <c r="J7" s="46">
        <f t="shared" si="3"/>
        <v>450</v>
      </c>
      <c r="K7" s="46">
        <f t="shared" si="3"/>
        <v>600</v>
      </c>
      <c r="L7" s="46">
        <f t="shared" si="3"/>
        <v>550</v>
      </c>
      <c r="M7" s="46">
        <f t="shared" si="3"/>
        <v>350</v>
      </c>
      <c r="N7" s="34">
        <f>SUM(H7:M7)</f>
        <v>2925</v>
      </c>
    </row>
    <row r="8" spans="1:14" x14ac:dyDescent="0.35">
      <c r="A8" s="24">
        <f t="shared" si="2"/>
        <v>7</v>
      </c>
      <c r="B8" s="24" t="s">
        <v>81</v>
      </c>
      <c r="C8" s="24" t="s">
        <v>77</v>
      </c>
      <c r="D8" s="24">
        <v>950</v>
      </c>
      <c r="G8" s="23" t="s">
        <v>81</v>
      </c>
      <c r="H8" s="46">
        <f t="shared" ref="H8:H9" si="4">SUMIFS($D$2:$D$25,$B$2:$B$25,$G8,$C$2:$C$25,H$6)</f>
        <v>500</v>
      </c>
      <c r="I8" s="46">
        <f t="shared" si="3"/>
        <v>456</v>
      </c>
      <c r="J8" s="46">
        <f t="shared" si="3"/>
        <v>950</v>
      </c>
      <c r="K8" s="46">
        <f t="shared" si="3"/>
        <v>750</v>
      </c>
      <c r="L8" s="46">
        <f t="shared" si="3"/>
        <v>650</v>
      </c>
      <c r="M8" s="46">
        <f t="shared" si="3"/>
        <v>830</v>
      </c>
      <c r="N8" s="34">
        <f>SUM(H8:M8)</f>
        <v>4136</v>
      </c>
    </row>
    <row r="9" spans="1:14" x14ac:dyDescent="0.35">
      <c r="A9" s="24">
        <f t="shared" si="2"/>
        <v>8</v>
      </c>
      <c r="B9" s="24" t="s">
        <v>82</v>
      </c>
      <c r="C9" s="24" t="s">
        <v>96</v>
      </c>
      <c r="D9" s="24">
        <v>700</v>
      </c>
      <c r="G9" s="23" t="s">
        <v>82</v>
      </c>
      <c r="H9" s="46">
        <f t="shared" si="4"/>
        <v>400</v>
      </c>
      <c r="I9" s="46">
        <f t="shared" si="3"/>
        <v>900</v>
      </c>
      <c r="J9" s="46">
        <f t="shared" si="3"/>
        <v>250</v>
      </c>
      <c r="K9" s="46">
        <f t="shared" si="3"/>
        <v>560</v>
      </c>
      <c r="L9" s="46">
        <f t="shared" si="3"/>
        <v>600</v>
      </c>
      <c r="M9" s="46">
        <f t="shared" si="3"/>
        <v>1500</v>
      </c>
      <c r="N9" s="34">
        <f>SUM(H9:M9)</f>
        <v>4210</v>
      </c>
    </row>
    <row r="10" spans="1:14" x14ac:dyDescent="0.35">
      <c r="A10" s="24">
        <f t="shared" si="2"/>
        <v>9</v>
      </c>
      <c r="B10" s="24" t="s">
        <v>82</v>
      </c>
      <c r="C10" s="24" t="s">
        <v>51</v>
      </c>
      <c r="D10" s="24">
        <v>400</v>
      </c>
    </row>
    <row r="11" spans="1:14" x14ac:dyDescent="0.35">
      <c r="A11" s="24">
        <f t="shared" si="2"/>
        <v>10</v>
      </c>
      <c r="B11" s="24" t="s">
        <v>81</v>
      </c>
      <c r="C11" s="24" t="s">
        <v>95</v>
      </c>
      <c r="D11" s="24">
        <v>256</v>
      </c>
      <c r="F11" s="40" t="s">
        <v>93</v>
      </c>
      <c r="G11" s="34" t="s">
        <v>35</v>
      </c>
      <c r="H11" s="41" t="s">
        <v>51</v>
      </c>
      <c r="I11" s="41" t="s">
        <v>95</v>
      </c>
      <c r="J11" s="41" t="s">
        <v>77</v>
      </c>
      <c r="K11" s="41" t="s">
        <v>78</v>
      </c>
      <c r="L11" s="41" t="s">
        <v>79</v>
      </c>
      <c r="M11" s="41" t="s">
        <v>96</v>
      </c>
      <c r="N11" s="34" t="s">
        <v>80</v>
      </c>
    </row>
    <row r="12" spans="1:14" x14ac:dyDescent="0.35">
      <c r="A12" s="24">
        <f t="shared" si="2"/>
        <v>11</v>
      </c>
      <c r="B12" s="24" t="s">
        <v>76</v>
      </c>
      <c r="C12" s="24" t="s">
        <v>51</v>
      </c>
      <c r="D12" s="24">
        <v>145</v>
      </c>
      <c r="G12" s="23" t="s">
        <v>76</v>
      </c>
      <c r="H12" s="46">
        <f>AVERAGEIFS($D$2:$D$25,$B$2:$B$25,$G12,$C$2:$C$25,H$11)</f>
        <v>225</v>
      </c>
      <c r="I12" s="46">
        <f t="shared" ref="I12:M14" si="5">AVERAGEIFS($D$2:$D$25,$B$2:$B$25,$G12,$C$2:$C$25,I$11)</f>
        <v>300</v>
      </c>
      <c r="J12" s="46">
        <f t="shared" si="5"/>
        <v>450</v>
      </c>
      <c r="K12" s="46">
        <f t="shared" si="5"/>
        <v>600</v>
      </c>
      <c r="L12" s="46">
        <f t="shared" si="5"/>
        <v>550</v>
      </c>
      <c r="M12" s="46">
        <f t="shared" si="5"/>
        <v>350</v>
      </c>
      <c r="N12" s="34">
        <f>SUM(H12:M12)</f>
        <v>2475</v>
      </c>
    </row>
    <row r="13" spans="1:14" x14ac:dyDescent="0.35">
      <c r="A13" s="24">
        <f t="shared" si="2"/>
        <v>12</v>
      </c>
      <c r="B13" s="24" t="s">
        <v>81</v>
      </c>
      <c r="C13" s="24" t="s">
        <v>51</v>
      </c>
      <c r="D13" s="24">
        <v>500</v>
      </c>
      <c r="G13" s="23" t="s">
        <v>81</v>
      </c>
      <c r="H13" s="46">
        <f t="shared" ref="H13:H14" si="6">AVERAGEIFS($D$2:$D$25,$B$2:$B$25,$G13,$C$2:$C$25,H$11)</f>
        <v>500</v>
      </c>
      <c r="I13" s="46">
        <f t="shared" si="5"/>
        <v>228</v>
      </c>
      <c r="J13" s="46">
        <f t="shared" si="5"/>
        <v>950</v>
      </c>
      <c r="K13" s="46">
        <f t="shared" si="5"/>
        <v>750</v>
      </c>
      <c r="L13" s="46">
        <f t="shared" si="5"/>
        <v>650</v>
      </c>
      <c r="M13" s="46">
        <f t="shared" si="5"/>
        <v>415</v>
      </c>
      <c r="N13" s="34">
        <f>SUM(H13:M13)</f>
        <v>3493</v>
      </c>
    </row>
    <row r="14" spans="1:14" x14ac:dyDescent="0.35">
      <c r="A14" s="24">
        <f t="shared" si="2"/>
        <v>13</v>
      </c>
      <c r="B14" s="24" t="s">
        <v>81</v>
      </c>
      <c r="C14" s="35" t="s">
        <v>78</v>
      </c>
      <c r="D14" s="24">
        <v>750</v>
      </c>
      <c r="G14" s="23" t="s">
        <v>82</v>
      </c>
      <c r="H14" s="46">
        <f t="shared" si="6"/>
        <v>400</v>
      </c>
      <c r="I14" s="46">
        <f t="shared" si="5"/>
        <v>450</v>
      </c>
      <c r="J14" s="46">
        <f t="shared" si="5"/>
        <v>250</v>
      </c>
      <c r="K14" s="46">
        <f t="shared" si="5"/>
        <v>560</v>
      </c>
      <c r="L14" s="46">
        <f t="shared" si="5"/>
        <v>600</v>
      </c>
      <c r="M14" s="46">
        <f t="shared" si="5"/>
        <v>750</v>
      </c>
      <c r="N14" s="34">
        <f>SUM(H14:M14)</f>
        <v>3010</v>
      </c>
    </row>
    <row r="15" spans="1:14" x14ac:dyDescent="0.35">
      <c r="A15" s="24">
        <f t="shared" si="2"/>
        <v>14</v>
      </c>
      <c r="B15" s="24" t="s">
        <v>76</v>
      </c>
      <c r="C15" s="24" t="s">
        <v>77</v>
      </c>
      <c r="D15" s="24">
        <v>450</v>
      </c>
      <c r="N15" s="36"/>
    </row>
    <row r="16" spans="1:14" x14ac:dyDescent="0.35">
      <c r="A16" s="24">
        <f t="shared" si="2"/>
        <v>15</v>
      </c>
      <c r="B16" s="24" t="s">
        <v>82</v>
      </c>
      <c r="C16" s="24" t="s">
        <v>95</v>
      </c>
      <c r="D16" s="24">
        <v>350</v>
      </c>
      <c r="F16" s="40" t="s">
        <v>92</v>
      </c>
      <c r="G16" s="34" t="s">
        <v>35</v>
      </c>
      <c r="H16" s="41" t="s">
        <v>51</v>
      </c>
      <c r="I16" s="41" t="s">
        <v>95</v>
      </c>
      <c r="J16" s="41" t="s">
        <v>77</v>
      </c>
      <c r="K16" s="41" t="s">
        <v>78</v>
      </c>
      <c r="L16" s="41" t="s">
        <v>79</v>
      </c>
      <c r="M16" s="41" t="s">
        <v>96</v>
      </c>
      <c r="N16" s="34" t="s">
        <v>80</v>
      </c>
    </row>
    <row r="17" spans="1:14" x14ac:dyDescent="0.35">
      <c r="A17" s="24">
        <f t="shared" si="2"/>
        <v>16</v>
      </c>
      <c r="B17" s="24" t="s">
        <v>76</v>
      </c>
      <c r="C17" s="24" t="s">
        <v>78</v>
      </c>
      <c r="D17" s="24">
        <v>600</v>
      </c>
      <c r="H17" s="46">
        <f>AVERAGEIF($C$2:$C$25,$H16,$D$2:$D$25)</f>
        <v>315</v>
      </c>
      <c r="I17" s="46">
        <f t="shared" ref="I17:M17" si="7">AVERAGEIF($C$2:$C$25,$H16,$D$2:$D$25)</f>
        <v>315</v>
      </c>
      <c r="J17" s="46">
        <f t="shared" si="7"/>
        <v>315</v>
      </c>
      <c r="K17" s="46">
        <f t="shared" si="7"/>
        <v>315</v>
      </c>
      <c r="L17" s="46">
        <f t="shared" si="7"/>
        <v>315</v>
      </c>
      <c r="M17" s="46">
        <f t="shared" si="7"/>
        <v>315</v>
      </c>
      <c r="N17" s="34">
        <f>SUM(H17:M17)</f>
        <v>1890</v>
      </c>
    </row>
    <row r="18" spans="1:14" x14ac:dyDescent="0.35">
      <c r="A18" s="24">
        <f t="shared" si="2"/>
        <v>17</v>
      </c>
      <c r="B18" s="24" t="s">
        <v>81</v>
      </c>
      <c r="C18" s="24" t="s">
        <v>79</v>
      </c>
      <c r="D18" s="24">
        <v>650</v>
      </c>
      <c r="F18" s="22"/>
    </row>
    <row r="19" spans="1:14" x14ac:dyDescent="0.35">
      <c r="A19" s="24">
        <f t="shared" si="2"/>
        <v>18</v>
      </c>
      <c r="B19" s="24" t="s">
        <v>82</v>
      </c>
      <c r="C19" s="24" t="s">
        <v>96</v>
      </c>
      <c r="D19" s="24">
        <v>800</v>
      </c>
      <c r="N19" s="36"/>
    </row>
    <row r="20" spans="1:14" x14ac:dyDescent="0.35">
      <c r="A20" s="24">
        <v>19</v>
      </c>
      <c r="B20" s="24" t="s">
        <v>76</v>
      </c>
      <c r="C20" s="24" t="s">
        <v>79</v>
      </c>
      <c r="D20" s="24">
        <v>550</v>
      </c>
      <c r="F20" s="37"/>
      <c r="H20" s="38"/>
      <c r="I20" s="38"/>
      <c r="J20" s="38"/>
      <c r="K20" s="38"/>
      <c r="L20" s="38"/>
      <c r="M20" s="38"/>
    </row>
    <row r="21" spans="1:14" x14ac:dyDescent="0.35">
      <c r="A21" s="24">
        <v>20</v>
      </c>
      <c r="B21" s="24" t="s">
        <v>76</v>
      </c>
      <c r="C21" s="24" t="s">
        <v>96</v>
      </c>
      <c r="D21" s="24">
        <v>350</v>
      </c>
    </row>
    <row r="22" spans="1:14" x14ac:dyDescent="0.35">
      <c r="A22" s="24">
        <v>21</v>
      </c>
      <c r="B22" s="24" t="s">
        <v>81</v>
      </c>
      <c r="C22" s="24" t="s">
        <v>96</v>
      </c>
      <c r="D22" s="24">
        <v>450</v>
      </c>
    </row>
    <row r="23" spans="1:14" x14ac:dyDescent="0.35">
      <c r="A23" s="24">
        <v>22</v>
      </c>
      <c r="B23" s="24" t="s">
        <v>82</v>
      </c>
      <c r="C23" s="24" t="s">
        <v>79</v>
      </c>
      <c r="D23" s="24">
        <v>600</v>
      </c>
    </row>
    <row r="24" spans="1:14" x14ac:dyDescent="0.35">
      <c r="A24" s="24">
        <v>23</v>
      </c>
      <c r="B24" s="24" t="s">
        <v>82</v>
      </c>
      <c r="C24" s="24" t="s">
        <v>78</v>
      </c>
      <c r="D24" s="24">
        <v>560</v>
      </c>
    </row>
    <row r="25" spans="1:14" x14ac:dyDescent="0.35">
      <c r="A25" s="24">
        <v>24</v>
      </c>
      <c r="B25" s="24" t="s">
        <v>81</v>
      </c>
      <c r="C25" s="24" t="s">
        <v>96</v>
      </c>
      <c r="D25" s="24">
        <v>380</v>
      </c>
    </row>
    <row r="26" spans="1:14" x14ac:dyDescent="0.35">
      <c r="C26" s="39"/>
      <c r="D26" s="36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"/>
  <sheetViews>
    <sheetView showGridLines="0" workbookViewId="0"/>
  </sheetViews>
  <sheetFormatPr defaultRowHeight="14.5" x14ac:dyDescent="0.35"/>
  <cols>
    <col min="1" max="1" width="9.81640625" customWidth="1"/>
    <col min="2" max="2" width="10.26953125" bestFit="1" customWidth="1"/>
    <col min="3" max="3" width="9" bestFit="1" customWidth="1"/>
    <col min="4" max="4" width="9" customWidth="1"/>
    <col min="5" max="5" width="16" customWidth="1"/>
    <col min="6" max="6" width="17.453125" customWidth="1"/>
    <col min="7" max="7" width="21.1796875" customWidth="1"/>
  </cols>
  <sheetData>
    <row r="1" spans="1:7" ht="15" thickBot="1" x14ac:dyDescent="0.4">
      <c r="A1" s="8" t="s">
        <v>19</v>
      </c>
      <c r="B1" s="9" t="s">
        <v>20</v>
      </c>
      <c r="C1" s="8" t="s">
        <v>21</v>
      </c>
      <c r="D1" s="228" t="s">
        <v>33</v>
      </c>
      <c r="E1" s="229"/>
      <c r="F1" s="229"/>
      <c r="G1" s="229"/>
    </row>
    <row r="2" spans="1:7" x14ac:dyDescent="0.35">
      <c r="A2" s="10">
        <v>38718</v>
      </c>
      <c r="B2" s="11" t="s">
        <v>22</v>
      </c>
      <c r="C2" s="12">
        <v>23.5</v>
      </c>
      <c r="D2" s="13"/>
      <c r="E2" s="14" t="s">
        <v>23</v>
      </c>
      <c r="F2" s="14" t="s">
        <v>22</v>
      </c>
      <c r="G2" s="15" t="s">
        <v>24</v>
      </c>
    </row>
    <row r="3" spans="1:7" x14ac:dyDescent="0.35">
      <c r="A3" s="10">
        <v>38718</v>
      </c>
      <c r="B3" s="11" t="s">
        <v>23</v>
      </c>
      <c r="C3" s="12">
        <v>15</v>
      </c>
      <c r="D3" s="16">
        <v>38718</v>
      </c>
      <c r="E3" s="17">
        <f>SUMIFS($C$2:$C$20,$A$2:$A$20,$D3,$B$2:$B$20,E$2)</f>
        <v>160.5</v>
      </c>
      <c r="F3" s="17">
        <f t="shared" ref="F3:G6" si="0">SUMIFS($C$2:$C$20,$A$2:$A$20,$D3,$B$2:$B$20,F$2)</f>
        <v>49.569999999999993</v>
      </c>
      <c r="G3" s="17">
        <f t="shared" si="0"/>
        <v>65.95</v>
      </c>
    </row>
    <row r="4" spans="1:7" x14ac:dyDescent="0.35">
      <c r="A4" s="10">
        <v>38718</v>
      </c>
      <c r="B4" s="11" t="s">
        <v>22</v>
      </c>
      <c r="C4" s="12">
        <v>9.1199999999999992</v>
      </c>
      <c r="D4" s="16">
        <v>38719</v>
      </c>
      <c r="E4" s="17">
        <f t="shared" ref="E4:E6" si="1">SUMIFS($C$2:$C$20,$A$2:$A$20,$D4,$B$2:$B$20,E$2)</f>
        <v>20</v>
      </c>
      <c r="F4" s="17">
        <f t="shared" si="0"/>
        <v>27.8</v>
      </c>
      <c r="G4" s="17">
        <f t="shared" si="0"/>
        <v>89</v>
      </c>
    </row>
    <row r="5" spans="1:7" x14ac:dyDescent="0.35">
      <c r="A5" s="10">
        <v>38718</v>
      </c>
      <c r="B5" s="11" t="s">
        <v>22</v>
      </c>
      <c r="C5" s="12">
        <v>16.95</v>
      </c>
      <c r="D5" s="16">
        <v>38720</v>
      </c>
      <c r="E5" s="17">
        <f t="shared" si="1"/>
        <v>0</v>
      </c>
      <c r="F5" s="17">
        <f t="shared" si="0"/>
        <v>101.96</v>
      </c>
      <c r="G5" s="17">
        <f t="shared" si="0"/>
        <v>75.3</v>
      </c>
    </row>
    <row r="6" spans="1:7" ht="15" thickBot="1" x14ac:dyDescent="0.4">
      <c r="A6" s="10">
        <v>38718</v>
      </c>
      <c r="B6" s="11" t="s">
        <v>23</v>
      </c>
      <c r="C6" s="12">
        <v>145.5</v>
      </c>
      <c r="D6" s="18">
        <v>38721</v>
      </c>
      <c r="E6" s="17">
        <f t="shared" si="1"/>
        <v>11.5</v>
      </c>
      <c r="F6" s="17">
        <f t="shared" si="0"/>
        <v>25</v>
      </c>
      <c r="G6" s="17">
        <f t="shared" si="0"/>
        <v>112</v>
      </c>
    </row>
    <row r="7" spans="1:7" x14ac:dyDescent="0.35">
      <c r="A7" s="10">
        <v>38718</v>
      </c>
      <c r="B7" s="11" t="s">
        <v>24</v>
      </c>
      <c r="C7" s="19">
        <v>65.95</v>
      </c>
    </row>
    <row r="8" spans="1:7" x14ac:dyDescent="0.35">
      <c r="A8" s="10">
        <v>38719</v>
      </c>
      <c r="B8" s="11" t="s">
        <v>23</v>
      </c>
      <c r="C8" s="19">
        <v>20</v>
      </c>
    </row>
    <row r="9" spans="1:7" x14ac:dyDescent="0.35">
      <c r="A9" s="10">
        <v>38719</v>
      </c>
      <c r="B9" s="11" t="s">
        <v>22</v>
      </c>
      <c r="C9" s="19">
        <v>7.8</v>
      </c>
    </row>
    <row r="10" spans="1:7" x14ac:dyDescent="0.35">
      <c r="A10" s="10">
        <v>38719</v>
      </c>
      <c r="B10" s="11" t="s">
        <v>22</v>
      </c>
      <c r="C10" s="19">
        <v>20</v>
      </c>
    </row>
    <row r="11" spans="1:7" x14ac:dyDescent="0.35">
      <c r="A11" s="10">
        <v>38719</v>
      </c>
      <c r="B11" s="11" t="s">
        <v>24</v>
      </c>
      <c r="C11" s="19">
        <v>89</v>
      </c>
    </row>
    <row r="12" spans="1:7" x14ac:dyDescent="0.35">
      <c r="A12" s="10">
        <v>38720</v>
      </c>
      <c r="B12" s="11" t="s">
        <v>22</v>
      </c>
      <c r="C12" s="19">
        <v>9</v>
      </c>
    </row>
    <row r="13" spans="1:7" x14ac:dyDescent="0.35">
      <c r="A13" s="10">
        <v>38720</v>
      </c>
      <c r="B13" s="11" t="s">
        <v>22</v>
      </c>
      <c r="C13" s="19">
        <v>3.5</v>
      </c>
    </row>
    <row r="14" spans="1:7" x14ac:dyDescent="0.35">
      <c r="A14" s="10">
        <v>38720</v>
      </c>
      <c r="B14" s="11" t="s">
        <v>22</v>
      </c>
      <c r="C14" s="19">
        <v>11.02</v>
      </c>
    </row>
    <row r="15" spans="1:7" x14ac:dyDescent="0.35">
      <c r="A15" s="10">
        <v>38720</v>
      </c>
      <c r="B15" s="11" t="s">
        <v>22</v>
      </c>
      <c r="C15" s="19">
        <v>78.44</v>
      </c>
    </row>
    <row r="16" spans="1:7" x14ac:dyDescent="0.35">
      <c r="A16" s="10">
        <v>38720</v>
      </c>
      <c r="B16" s="11" t="s">
        <v>24</v>
      </c>
      <c r="C16" s="19">
        <v>75.3</v>
      </c>
    </row>
    <row r="17" spans="1:3" x14ac:dyDescent="0.35">
      <c r="A17" s="10">
        <v>38721</v>
      </c>
      <c r="B17" s="11" t="s">
        <v>23</v>
      </c>
      <c r="C17" s="19">
        <v>11.5</v>
      </c>
    </row>
    <row r="18" spans="1:3" x14ac:dyDescent="0.35">
      <c r="A18" s="10">
        <v>38721</v>
      </c>
      <c r="B18" s="11" t="s">
        <v>22</v>
      </c>
      <c r="C18" s="19">
        <v>15.5</v>
      </c>
    </row>
    <row r="19" spans="1:3" x14ac:dyDescent="0.35">
      <c r="A19" s="10">
        <v>38721</v>
      </c>
      <c r="B19" s="11" t="s">
        <v>22</v>
      </c>
      <c r="C19" s="19">
        <v>9.5</v>
      </c>
    </row>
    <row r="20" spans="1:3" x14ac:dyDescent="0.35">
      <c r="A20" s="10">
        <v>38721</v>
      </c>
      <c r="B20" s="11" t="s">
        <v>24</v>
      </c>
      <c r="C20" s="19">
        <v>112</v>
      </c>
    </row>
  </sheetData>
  <mergeCells count="1">
    <mergeCell ref="D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K27"/>
  <sheetViews>
    <sheetView showGridLines="0" workbookViewId="0"/>
  </sheetViews>
  <sheetFormatPr defaultRowHeight="14.5" x14ac:dyDescent="0.35"/>
  <sheetData>
    <row r="1" spans="1:11" x14ac:dyDescent="0.35">
      <c r="A1" s="124" t="s">
        <v>74</v>
      </c>
      <c r="B1" s="124" t="s">
        <v>223</v>
      </c>
      <c r="C1" s="124" t="s">
        <v>224</v>
      </c>
      <c r="D1">
        <v>1</v>
      </c>
      <c r="E1" s="230" t="s">
        <v>225</v>
      </c>
      <c r="F1" s="231"/>
      <c r="G1" s="231"/>
      <c r="H1" s="231"/>
      <c r="I1" s="231"/>
      <c r="J1" s="231"/>
      <c r="K1" s="231"/>
    </row>
    <row r="2" spans="1:11" x14ac:dyDescent="0.35">
      <c r="A2" s="28" t="s">
        <v>226</v>
      </c>
      <c r="B2" s="28">
        <v>3</v>
      </c>
      <c r="C2" s="28">
        <v>20</v>
      </c>
    </row>
    <row r="3" spans="1:11" x14ac:dyDescent="0.35">
      <c r="A3" s="28" t="s">
        <v>227</v>
      </c>
      <c r="B3" s="28">
        <v>5</v>
      </c>
      <c r="C3" s="28">
        <v>37</v>
      </c>
      <c r="E3" s="207" t="s">
        <v>223</v>
      </c>
      <c r="F3" s="207" t="s">
        <v>228</v>
      </c>
    </row>
    <row r="4" spans="1:11" x14ac:dyDescent="0.35">
      <c r="A4" s="28" t="s">
        <v>229</v>
      </c>
      <c r="B4" s="28">
        <v>2</v>
      </c>
      <c r="C4" s="28">
        <v>51</v>
      </c>
      <c r="E4" s="207" t="s">
        <v>230</v>
      </c>
      <c r="F4" s="208" cm="1">
        <f t="array" ref="F4">MAX(IF($B$2:$B$27,"&gt;2"),$C$2:$C$27)</f>
        <v>145</v>
      </c>
    </row>
    <row r="5" spans="1:11" x14ac:dyDescent="0.35">
      <c r="A5" s="28" t="s">
        <v>231</v>
      </c>
      <c r="B5" s="28">
        <v>6</v>
      </c>
      <c r="C5" s="28">
        <v>30</v>
      </c>
    </row>
    <row r="6" spans="1:11" x14ac:dyDescent="0.35">
      <c r="A6" s="28" t="s">
        <v>226</v>
      </c>
      <c r="B6" s="28">
        <v>1</v>
      </c>
      <c r="C6" s="28">
        <v>144</v>
      </c>
      <c r="D6">
        <v>2</v>
      </c>
      <c r="E6" s="230" t="s">
        <v>232</v>
      </c>
      <c r="F6" s="231"/>
      <c r="G6" s="231"/>
      <c r="H6" s="231"/>
      <c r="I6" s="231"/>
      <c r="J6" s="231"/>
      <c r="K6" s="231"/>
    </row>
    <row r="7" spans="1:11" x14ac:dyDescent="0.35">
      <c r="A7" s="28" t="s">
        <v>233</v>
      </c>
      <c r="B7" s="28">
        <v>3</v>
      </c>
      <c r="C7" s="28">
        <v>92</v>
      </c>
    </row>
    <row r="8" spans="1:11" x14ac:dyDescent="0.35">
      <c r="A8" s="28" t="s">
        <v>234</v>
      </c>
      <c r="B8" s="28">
        <v>6</v>
      </c>
      <c r="C8" s="28">
        <v>106</v>
      </c>
      <c r="E8" s="207" t="s">
        <v>74</v>
      </c>
      <c r="F8" s="207" t="s">
        <v>235</v>
      </c>
    </row>
    <row r="9" spans="1:11" x14ac:dyDescent="0.35">
      <c r="A9" s="28" t="s">
        <v>236</v>
      </c>
      <c r="B9" s="28">
        <v>3</v>
      </c>
      <c r="C9" s="28">
        <v>80</v>
      </c>
      <c r="E9" s="207" t="s">
        <v>226</v>
      </c>
      <c r="F9" s="208">
        <f t="array" ref="F9">MIN(IF(A2:A27=E9,C2:C27))</f>
        <v>20</v>
      </c>
    </row>
    <row r="10" spans="1:11" x14ac:dyDescent="0.35">
      <c r="A10" s="28" t="s">
        <v>226</v>
      </c>
      <c r="B10" s="28">
        <v>3</v>
      </c>
      <c r="C10" s="28">
        <v>110</v>
      </c>
    </row>
    <row r="11" spans="1:11" x14ac:dyDescent="0.35">
      <c r="A11" s="28" t="s">
        <v>236</v>
      </c>
      <c r="B11" s="28">
        <v>5</v>
      </c>
      <c r="C11" s="28">
        <v>63</v>
      </c>
    </row>
    <row r="12" spans="1:11" x14ac:dyDescent="0.35">
      <c r="A12" s="28" t="s">
        <v>234</v>
      </c>
      <c r="B12" s="28">
        <v>6</v>
      </c>
      <c r="C12" s="28">
        <v>103</v>
      </c>
    </row>
    <row r="13" spans="1:11" x14ac:dyDescent="0.35">
      <c r="A13" s="28" t="s">
        <v>233</v>
      </c>
      <c r="B13" s="28">
        <v>1</v>
      </c>
      <c r="C13" s="28">
        <v>145</v>
      </c>
    </row>
    <row r="14" spans="1:11" x14ac:dyDescent="0.35">
      <c r="A14" s="28" t="s">
        <v>237</v>
      </c>
      <c r="B14" s="28">
        <v>1</v>
      </c>
      <c r="C14" s="28">
        <v>93</v>
      </c>
    </row>
    <row r="15" spans="1:11" x14ac:dyDescent="0.35">
      <c r="A15" s="28" t="s">
        <v>231</v>
      </c>
      <c r="B15" s="28">
        <v>3</v>
      </c>
      <c r="C15" s="28">
        <v>31</v>
      </c>
    </row>
    <row r="16" spans="1:11" x14ac:dyDescent="0.35">
      <c r="A16" s="28" t="s">
        <v>238</v>
      </c>
      <c r="B16" s="28">
        <v>4</v>
      </c>
      <c r="C16" s="28">
        <v>120</v>
      </c>
    </row>
    <row r="17" spans="1:3" x14ac:dyDescent="0.35">
      <c r="A17" s="28" t="s">
        <v>227</v>
      </c>
      <c r="B17" s="28">
        <v>4</v>
      </c>
      <c r="C17" s="28">
        <v>129</v>
      </c>
    </row>
    <row r="18" spans="1:3" x14ac:dyDescent="0.35">
      <c r="A18" s="28" t="s">
        <v>226</v>
      </c>
      <c r="B18" s="28">
        <v>5</v>
      </c>
      <c r="C18" s="28">
        <v>53</v>
      </c>
    </row>
    <row r="19" spans="1:3" x14ac:dyDescent="0.35">
      <c r="A19" s="28" t="s">
        <v>226</v>
      </c>
      <c r="B19" s="28">
        <v>5</v>
      </c>
      <c r="C19" s="28">
        <v>81</v>
      </c>
    </row>
    <row r="20" spans="1:3" x14ac:dyDescent="0.35">
      <c r="A20" s="28" t="s">
        <v>236</v>
      </c>
      <c r="B20" s="28">
        <v>4</v>
      </c>
      <c r="C20" s="28">
        <v>66</v>
      </c>
    </row>
    <row r="21" spans="1:3" x14ac:dyDescent="0.35">
      <c r="A21" s="28" t="s">
        <v>234</v>
      </c>
      <c r="B21" s="28">
        <v>5</v>
      </c>
      <c r="C21" s="28">
        <v>107</v>
      </c>
    </row>
    <row r="22" spans="1:3" x14ac:dyDescent="0.35">
      <c r="A22" s="28" t="s">
        <v>233</v>
      </c>
      <c r="B22" s="28">
        <v>3</v>
      </c>
      <c r="C22" s="28">
        <v>22</v>
      </c>
    </row>
    <row r="23" spans="1:3" x14ac:dyDescent="0.35">
      <c r="A23" s="28" t="s">
        <v>237</v>
      </c>
      <c r="B23" s="28">
        <v>3</v>
      </c>
      <c r="C23" s="28">
        <v>94</v>
      </c>
    </row>
    <row r="24" spans="1:3" x14ac:dyDescent="0.35">
      <c r="A24" s="28" t="s">
        <v>231</v>
      </c>
      <c r="B24" s="28">
        <v>2</v>
      </c>
      <c r="C24" s="28">
        <v>42</v>
      </c>
    </row>
    <row r="25" spans="1:3" x14ac:dyDescent="0.35">
      <c r="A25" s="28" t="s">
        <v>238</v>
      </c>
      <c r="B25" s="28">
        <v>6</v>
      </c>
      <c r="C25" s="28">
        <v>80</v>
      </c>
    </row>
    <row r="26" spans="1:3" x14ac:dyDescent="0.35">
      <c r="A26" s="28" t="s">
        <v>227</v>
      </c>
      <c r="B26" s="28">
        <v>2</v>
      </c>
      <c r="C26" s="28">
        <v>125</v>
      </c>
    </row>
    <row r="27" spans="1:3" x14ac:dyDescent="0.35">
      <c r="A27" s="28" t="s">
        <v>226</v>
      </c>
      <c r="B27" s="28">
        <v>6</v>
      </c>
      <c r="C27" s="28">
        <v>115</v>
      </c>
    </row>
  </sheetData>
  <mergeCells count="2">
    <mergeCell ref="E1:K1"/>
    <mergeCell ref="E6:K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0"/>
  </sheetPr>
  <dimension ref="A1:AA835"/>
  <sheetViews>
    <sheetView showGridLines="0" topLeftCell="C1" zoomScale="90" zoomScaleNormal="90" workbookViewId="0">
      <selection sqref="A1:F1"/>
    </sheetView>
  </sheetViews>
  <sheetFormatPr defaultColWidth="9.1796875" defaultRowHeight="14.5" x14ac:dyDescent="0.35"/>
  <cols>
    <col min="1" max="1" width="10.54296875" bestFit="1" customWidth="1"/>
    <col min="2" max="2" width="23.7265625" bestFit="1" customWidth="1"/>
    <col min="3" max="3" width="6.453125" bestFit="1" customWidth="1"/>
    <col min="4" max="4" width="6" bestFit="1" customWidth="1"/>
    <col min="5" max="5" width="5.54296875" bestFit="1" customWidth="1"/>
    <col min="6" max="6" width="8.54296875" bestFit="1" customWidth="1"/>
    <col min="8" max="8" width="8.54296875" customWidth="1"/>
    <col min="9" max="9" width="9.453125" customWidth="1"/>
    <col min="10" max="10" width="17.1796875" customWidth="1"/>
    <col min="11" max="11" width="12.1796875" customWidth="1"/>
    <col min="12" max="13" width="13.26953125" customWidth="1"/>
    <col min="15" max="15" width="17.1796875" customWidth="1"/>
    <col min="16" max="16" width="11.26953125" customWidth="1"/>
    <col min="17" max="17" width="9.81640625" customWidth="1"/>
    <col min="18" max="18" width="12.453125" customWidth="1"/>
    <col min="19" max="19" width="10.26953125" customWidth="1"/>
    <col min="20" max="20" width="13.7265625" customWidth="1"/>
    <col min="23" max="23" width="12.1796875" customWidth="1"/>
    <col min="24" max="24" width="11.26953125" customWidth="1"/>
    <col min="25" max="25" width="13" customWidth="1"/>
    <col min="26" max="26" width="20.453125" customWidth="1"/>
    <col min="27" max="27" width="12.453125" customWidth="1"/>
  </cols>
  <sheetData>
    <row r="1" spans="1:27" ht="15" thickBot="1" x14ac:dyDescent="0.4">
      <c r="A1" s="235" t="s">
        <v>660</v>
      </c>
      <c r="B1" s="235"/>
      <c r="C1" s="235"/>
      <c r="D1" s="235"/>
      <c r="E1" s="235"/>
      <c r="F1" s="235"/>
      <c r="H1" s="232" t="s">
        <v>659</v>
      </c>
      <c r="I1" s="233"/>
      <c r="J1" s="233"/>
      <c r="K1" s="233"/>
      <c r="L1" s="234"/>
      <c r="M1" s="132"/>
      <c r="N1" s="236" t="s">
        <v>661</v>
      </c>
      <c r="O1" s="236"/>
      <c r="P1" s="236"/>
      <c r="Q1" s="236"/>
      <c r="R1" s="236"/>
      <c r="S1" s="236"/>
      <c r="T1" s="236"/>
      <c r="V1" s="236"/>
      <c r="W1" s="236"/>
      <c r="X1" s="236"/>
      <c r="Y1" s="236"/>
      <c r="Z1" s="236"/>
      <c r="AA1" s="236"/>
    </row>
    <row r="2" spans="1:27" x14ac:dyDescent="0.35">
      <c r="A2" s="125" t="s">
        <v>19</v>
      </c>
      <c r="B2" s="125" t="s">
        <v>239</v>
      </c>
      <c r="C2" s="125" t="s">
        <v>240</v>
      </c>
      <c r="D2" s="125" t="s">
        <v>241</v>
      </c>
      <c r="E2" s="125" t="s">
        <v>242</v>
      </c>
      <c r="F2" s="125" t="s">
        <v>243</v>
      </c>
      <c r="H2" s="126" t="s">
        <v>243</v>
      </c>
      <c r="I2" s="126" t="s">
        <v>241</v>
      </c>
      <c r="J2" s="126" t="s">
        <v>239</v>
      </c>
      <c r="K2" s="126" t="s">
        <v>240</v>
      </c>
      <c r="L2" s="126" t="s">
        <v>242</v>
      </c>
      <c r="M2" s="133"/>
      <c r="N2" s="126" t="s">
        <v>243</v>
      </c>
      <c r="O2" s="126" t="s">
        <v>239</v>
      </c>
      <c r="P2" s="126" t="s">
        <v>242</v>
      </c>
      <c r="Q2" s="126" t="s">
        <v>240</v>
      </c>
      <c r="R2" s="126" t="s">
        <v>243</v>
      </c>
      <c r="S2" s="127" t="s">
        <v>19</v>
      </c>
      <c r="T2" s="202" t="s">
        <v>241</v>
      </c>
      <c r="V2" s="203"/>
      <c r="W2" s="203"/>
      <c r="X2" s="203"/>
      <c r="Y2" s="203"/>
      <c r="Z2" s="203"/>
      <c r="AA2" s="203"/>
    </row>
    <row r="3" spans="1:27" x14ac:dyDescent="0.35">
      <c r="A3" s="130">
        <v>42430</v>
      </c>
      <c r="B3" s="24" t="s">
        <v>244</v>
      </c>
      <c r="C3" s="24" t="s">
        <v>245</v>
      </c>
      <c r="D3" s="24" t="s">
        <v>246</v>
      </c>
      <c r="E3" s="24">
        <v>1522</v>
      </c>
      <c r="F3" s="24">
        <v>356504</v>
      </c>
      <c r="H3" s="24">
        <v>356504</v>
      </c>
      <c r="I3" s="131" t="str">
        <f t="array" ref="I3">VLOOKUP($H3,CHOOSE({1,2,3,4,5},$F$3:$F$835,$D$3:$D$835,$B$3:$B$835,$C$3:$C$835,$E$3:$E$835),2,0)</f>
        <v>CHN</v>
      </c>
      <c r="J3" s="131" t="str">
        <f t="array" ref="J3">VLOOKUP($H3,CHOOSE({1,2,3,4,5},$F$3:$F$835,$D$3:$D$835,$B$3:$B$835,$C$3:$C$835,$E$3:$E$835),3,0)</f>
        <v>Jananiu</v>
      </c>
      <c r="K3" s="131" t="str">
        <f t="array" ref="K3">VLOOKUP($H3,CHOOSE({1,2,3,4,5},$F$3:$F$835,$D$3:$D$835,$B$3:$B$835,$C$3:$C$835,$E$3:$E$835),4,0)</f>
        <v>HECC</v>
      </c>
      <c r="L3" s="131">
        <f t="array" ref="L3">VLOOKUP($H3,CHOOSE({1,2,3,4,5},$F$3:$F$835,$D$3:$D$835,$B$3:$B$835,$C$3:$C$835,$E$3:$E$835),5,0)</f>
        <v>1522</v>
      </c>
      <c r="M3" s="134"/>
      <c r="N3" s="24">
        <v>356504</v>
      </c>
      <c r="O3" s="131" t="str">
        <f t="array" ref="O3">HLOOKUP($N3,TRANSPOSE(CHOOSE({1,2,3,4,5,6},$F$3:$F$835,$B$3:$B$835,$E$3:$E$835,$C$3:$C$835,$A$3:$A$835,$D$3:$D$835)),2,0)</f>
        <v>Jananiu</v>
      </c>
      <c r="P3" s="131">
        <f t="array" ref="P3">HLOOKUP($N3,TRANSPOSE(CHOOSE({1,2,3,4,5,6},$F$3:$F$835,$B$3:$B$835,$E$3:$E$835,$C$3:$C$835,$A$3:$A$835,$D$3:$D$835)),3,0)</f>
        <v>1522</v>
      </c>
      <c r="Q3" s="131" t="str">
        <f t="array" ref="Q3">HLOOKUP($N3,TRANSPOSE(CHOOSE({1,2,3,4,5,6},$F$3:$F$835,$B$3:$B$835,$E$3:$E$835,$C$3:$C$835,$A$3:$A$835,$D$3:$D$835)),4,0)</f>
        <v>HECC</v>
      </c>
      <c r="R3" s="131">
        <f t="array" ref="R3">HLOOKUP($N3,TRANSPOSE(CHOOSE({1,2,3,4,5,6},$F$3:$F$835,$B$3:$B$835,$E$3:$E$835,$C$3:$C$835,$A$3:$A$835,$D$3:$D$835)),1,0)</f>
        <v>356504</v>
      </c>
      <c r="S3" s="214" cm="1">
        <f t="array" ref="S3">HLOOKUP($N3,TRANSPOSE(CHOOSE({1,2,3,4,5,6},$F$3:$F$835,$B$3:$B$835,$E$3:$E$835,$C$3:$C$835,$A$3:$A$835,$D$3:$D$835)),5,0)</f>
        <v>42430</v>
      </c>
      <c r="T3" s="131" t="str">
        <f t="array" ref="T3">HLOOKUP($N3,TRANSPOSE(CHOOSE({1,2,3,4,5,6},$F$3:$F$835,$B$3:$B$835,$E$3:$E$835,$C$3:$C$835,$A$3:$A$835,$D$3:$D$835)),6,0)</f>
        <v>CHN</v>
      </c>
      <c r="V3" s="22"/>
      <c r="W3" s="204"/>
    </row>
    <row r="4" spans="1:27" x14ac:dyDescent="0.35">
      <c r="A4" s="130">
        <v>42431</v>
      </c>
      <c r="B4" s="24" t="s">
        <v>247</v>
      </c>
      <c r="C4" s="24" t="s">
        <v>248</v>
      </c>
      <c r="D4" s="24" t="s">
        <v>246</v>
      </c>
      <c r="E4" s="24">
        <v>4585</v>
      </c>
      <c r="F4" s="24">
        <v>356507</v>
      </c>
      <c r="H4" s="24">
        <v>301241</v>
      </c>
      <c r="I4" s="131" t="str">
        <f t="array" ref="I4">VLOOKUP($H4,CHOOSE({1,2,3,4,5},$F$3:$F$835,$D$3:$D$835,$B$3:$B$835,$C$3:$C$835,$E$3:$E$835),2,0)</f>
        <v>RJ</v>
      </c>
      <c r="J4" s="131" t="str">
        <f t="array" ref="J4">VLOOKUP($H4,CHOOSE({1,2,3,4,5},$F$3:$F$835,$D$3:$D$835,$B$3:$B$835,$C$3:$C$835,$E$3:$E$835),3,0)</f>
        <v>Gufran Khan</v>
      </c>
      <c r="K4" s="131" t="str">
        <f t="array" ref="K4">VLOOKUP($H4,CHOOSE({1,2,3,4,5},$F$3:$F$835,$D$3:$D$835,$B$3:$B$835,$C$3:$C$835,$E$3:$E$835),4,0)</f>
        <v>HECC</v>
      </c>
      <c r="L4" s="131">
        <f t="array" ref="L4">VLOOKUP($H4,CHOOSE({1,2,3,4,5},$F$3:$F$835,$D$3:$D$835,$B$3:$B$835,$C$3:$C$835,$E$3:$E$835),5,0)</f>
        <v>2686</v>
      </c>
      <c r="M4" s="134"/>
      <c r="N4" s="24">
        <v>301241</v>
      </c>
      <c r="O4" s="131" t="str">
        <f t="array" ref="O4">HLOOKUP($N4,TRANSPOSE(CHOOSE({1,2,3,4,5,6},$F$3:$F$835,$B$3:$B$835,$E$3:$E$835,$C$3:$C$835,$A$3:$A$835,$D$3:$D$835)),2,0)</f>
        <v>Gufran Khan</v>
      </c>
      <c r="P4" s="131">
        <f t="array" ref="P4">HLOOKUP($N4,TRANSPOSE(CHOOSE({1,2,3,4,5,6},$F$3:$F$835,$B$3:$B$835,$E$3:$E$835,$C$3:$C$835,$A$3:$A$835,$D$3:$D$835)),3,0)</f>
        <v>2686</v>
      </c>
      <c r="Q4" s="131" t="str">
        <f t="array" ref="Q4">HLOOKUP($N4,TRANSPOSE(CHOOSE({1,2,3,4,5,6},$F$3:$F$835,$B$3:$B$835,$E$3:$E$835,$C$3:$C$835,$A$3:$A$835,$D$3:$D$835)),4,0)</f>
        <v>HECC</v>
      </c>
      <c r="R4" s="131">
        <f t="array" ref="R4">HLOOKUP($N4,TRANSPOSE(CHOOSE({1,2,3,4,5,6},$F$3:$F$835,$B$3:$B$835,$E$3:$E$835,$C$3:$C$835,$A$3:$A$835,$D$3:$D$835)),1,0)</f>
        <v>301241</v>
      </c>
      <c r="S4" s="214" cm="1">
        <f t="array" ref="S4">HLOOKUP($N4,TRANSPOSE(CHOOSE({1,2,3,4,5,6},$F$3:$F$835,$B$3:$B$835,$E$3:$E$835,$C$3:$C$835,$A$3:$A$835,$D$3:$D$835)),5,0)</f>
        <v>43262</v>
      </c>
      <c r="T4" s="131" t="str">
        <f t="array" ref="T4">HLOOKUP($N4,TRANSPOSE(CHOOSE({1,2,3,4,5,6},$F$3:$F$835,$B$3:$B$835,$E$3:$E$835,$C$3:$C$835,$A$3:$A$835,$D$3:$D$835)),6,0)</f>
        <v>RJ</v>
      </c>
      <c r="V4" s="22"/>
      <c r="W4" s="204"/>
    </row>
    <row r="5" spans="1:27" x14ac:dyDescent="0.35">
      <c r="A5" s="130">
        <v>42432</v>
      </c>
      <c r="B5" s="24" t="s">
        <v>249</v>
      </c>
      <c r="C5" s="24" t="s">
        <v>248</v>
      </c>
      <c r="D5" s="24" t="s">
        <v>246</v>
      </c>
      <c r="E5" s="24">
        <v>4763</v>
      </c>
      <c r="F5" s="24">
        <v>356513</v>
      </c>
      <c r="H5" s="24">
        <v>321327</v>
      </c>
      <c r="I5" s="131" t="e">
        <f t="array" ref="I5">VLOOKUP($H5,CHOOSE({1,2,3,4,5},$F$3:$F$835,$D$3:$D$835,$B$3:$B$835,$C$3:$C$835,$E$3:$E$835),2,0)</f>
        <v>#N/A</v>
      </c>
      <c r="J5" s="131" t="e">
        <f t="array" ref="J5">VLOOKUP($H5,CHOOSE({1,2,3,4,5},$F$3:$F$835,$D$3:$D$835,$B$3:$B$835,$C$3:$C$835,$E$3:$E$835),3,0)</f>
        <v>#N/A</v>
      </c>
      <c r="K5" s="131" t="e">
        <f t="array" ref="K5">VLOOKUP($H5,CHOOSE({1,2,3,4,5},$F$3:$F$835,$D$3:$D$835,$B$3:$B$835,$C$3:$C$835,$E$3:$E$835),4,0)</f>
        <v>#N/A</v>
      </c>
      <c r="L5" s="131" t="e">
        <f t="array" ref="L5">VLOOKUP($H5,CHOOSE({1,2,3,4,5},$F$3:$F$835,$D$3:$D$835,$B$3:$B$835,$C$3:$C$835,$E$3:$E$835),5,0)</f>
        <v>#N/A</v>
      </c>
      <c r="M5" s="134"/>
      <c r="N5" s="24">
        <v>321327</v>
      </c>
      <c r="O5" s="131" t="e">
        <f t="array" ref="O5">HLOOKUP($N5,TRANSPOSE(CHOOSE({1,2,3,4,5,6},$F$3:$F$835,$B$3:$B$835,$E$3:$E$835,$C$3:$C$835,$A$3:$A$835,$D$3:$D$835)),2,0)</f>
        <v>#N/A</v>
      </c>
      <c r="P5" s="131" t="e">
        <f t="array" ref="P5">HLOOKUP($N5,TRANSPOSE(CHOOSE({1,2,3,4,5,6},$F$3:$F$835,$B$3:$B$835,$E$3:$E$835,$C$3:$C$835,$A$3:$A$835,$D$3:$D$835)),3,0)</f>
        <v>#N/A</v>
      </c>
      <c r="Q5" s="131" t="e">
        <f t="array" ref="Q5">HLOOKUP($N5,TRANSPOSE(CHOOSE({1,2,3,4,5,6},$F$3:$F$835,$B$3:$B$835,$E$3:$E$835,$C$3:$C$835,$A$3:$A$835,$D$3:$D$835)),4,0)</f>
        <v>#N/A</v>
      </c>
      <c r="R5" s="131" t="e">
        <f t="array" ref="R5">HLOOKUP($N5,TRANSPOSE(CHOOSE({1,2,3,4,5,6},$F$3:$F$835,$B$3:$B$835,$E$3:$E$835,$C$3:$C$835,$A$3:$A$835,$D$3:$D$835)),1,0)</f>
        <v>#N/A</v>
      </c>
      <c r="S5" s="214" t="e" cm="1">
        <f t="array" ref="S5">HLOOKUP($N5,TRANSPOSE(CHOOSE({1,2,3,4,5,6},$F$3:$F$835,$B$3:$B$835,$E$3:$E$835,$C$3:$C$835,$A$3:$A$835,$D$3:$D$835)),5,0)</f>
        <v>#N/A</v>
      </c>
      <c r="T5" s="131" t="e">
        <f t="array" ref="T5">HLOOKUP($N5,TRANSPOSE(CHOOSE({1,2,3,4,5,6},$F$3:$F$835,$B$3:$B$835,$E$3:$E$835,$C$3:$C$835,$A$3:$A$835,$D$3:$D$835)),6,0)</f>
        <v>#N/A</v>
      </c>
      <c r="V5" s="22"/>
      <c r="W5" s="204"/>
    </row>
    <row r="6" spans="1:27" x14ac:dyDescent="0.35">
      <c r="A6" s="130">
        <v>42433</v>
      </c>
      <c r="B6" s="24" t="s">
        <v>250</v>
      </c>
      <c r="C6" s="24" t="s">
        <v>245</v>
      </c>
      <c r="D6" s="24" t="s">
        <v>246</v>
      </c>
      <c r="E6" s="24">
        <v>2446</v>
      </c>
      <c r="F6" s="24">
        <v>356518</v>
      </c>
      <c r="H6" s="24">
        <v>344519</v>
      </c>
      <c r="I6" s="131" t="str">
        <f t="array" ref="I6">VLOOKUP($H6,CHOOSE({1,2,3,4,5},$F$3:$F$835,$D$3:$D$835,$B$3:$B$835,$C$3:$C$835,$E$3:$E$835),2,0)</f>
        <v>KA</v>
      </c>
      <c r="J6" s="131" t="str">
        <f t="array" ref="J6">VLOOKUP($H6,CHOOSE({1,2,3,4,5},$F$3:$F$835,$D$3:$D$835,$B$3:$B$835,$C$3:$C$835,$E$3:$E$835),3,0)</f>
        <v>Mohamed</v>
      </c>
      <c r="K6" s="131" t="str">
        <f t="array" ref="K6">VLOOKUP($H6,CHOOSE({1,2,3,4,5},$F$3:$F$835,$D$3:$D$835,$B$3:$B$835,$C$3:$C$835,$E$3:$E$835),4,0)</f>
        <v>HECC</v>
      </c>
      <c r="L6" s="131">
        <f t="array" ref="L6">VLOOKUP($H6,CHOOSE({1,2,3,4,5},$F$3:$F$835,$D$3:$D$835,$B$3:$B$835,$C$3:$C$835,$E$3:$E$835),5,0)</f>
        <v>4241</v>
      </c>
      <c r="M6" s="134"/>
      <c r="N6" s="24">
        <v>344519</v>
      </c>
      <c r="O6" s="131" t="str">
        <f t="array" ref="O6">HLOOKUP($N6,TRANSPOSE(CHOOSE({1,2,3,4,5,6},$F$3:$F$835,$B$3:$B$835,$E$3:$E$835,$C$3:$C$835,$A$3:$A$835,$D$3:$D$835)),2,0)</f>
        <v>Mohamed</v>
      </c>
      <c r="P6" s="131">
        <f t="array" ref="P6">HLOOKUP($N6,TRANSPOSE(CHOOSE({1,2,3,4,5,6},$F$3:$F$835,$B$3:$B$835,$E$3:$E$835,$C$3:$C$835,$A$3:$A$835,$D$3:$D$835)),3,0)</f>
        <v>4241</v>
      </c>
      <c r="Q6" s="131" t="str">
        <f t="array" ref="Q6">HLOOKUP($N6,TRANSPOSE(CHOOSE({1,2,3,4,5,6},$F$3:$F$835,$B$3:$B$835,$E$3:$E$835,$C$3:$C$835,$A$3:$A$835,$D$3:$D$835)),4,0)</f>
        <v>HECC</v>
      </c>
      <c r="R6" s="131">
        <f t="array" ref="R6">HLOOKUP($N6,TRANSPOSE(CHOOSE({1,2,3,4,5,6},$F$3:$F$835,$B$3:$B$835,$E$3:$E$835,$C$3:$C$835,$A$3:$A$835,$D$3:$D$835)),1,0)</f>
        <v>344519</v>
      </c>
      <c r="S6" s="214" cm="1">
        <f t="array" ref="S6">HLOOKUP($N6,TRANSPOSE(CHOOSE({1,2,3,4,5,6},$F$3:$F$835,$B$3:$B$835,$E$3:$E$835,$C$3:$C$835,$A$3:$A$835,$D$3:$D$835)),5,0)</f>
        <v>43131</v>
      </c>
      <c r="T6" s="131" t="str">
        <f t="array" ref="T6">HLOOKUP($N6,TRANSPOSE(CHOOSE({1,2,3,4,5,6},$F$3:$F$835,$B$3:$B$835,$E$3:$E$835,$C$3:$C$835,$A$3:$A$835,$D$3:$D$835)),6,0)</f>
        <v>KA</v>
      </c>
      <c r="V6" s="22"/>
      <c r="W6" s="204"/>
    </row>
    <row r="7" spans="1:27" x14ac:dyDescent="0.35">
      <c r="A7" s="130">
        <v>42434</v>
      </c>
      <c r="B7" s="24" t="s">
        <v>251</v>
      </c>
      <c r="C7" s="24" t="s">
        <v>245</v>
      </c>
      <c r="D7" s="24" t="s">
        <v>246</v>
      </c>
      <c r="E7" s="24">
        <v>1673</v>
      </c>
      <c r="F7" s="24">
        <v>356529</v>
      </c>
      <c r="H7" s="24">
        <v>344520</v>
      </c>
      <c r="I7" s="131" t="str">
        <f t="array" ref="I7">VLOOKUP($H7,CHOOSE({1,2,3,4,5},$F$3:$F$835,$D$3:$D$835,$B$3:$B$835,$C$3:$C$835,$E$3:$E$835),2,0)</f>
        <v>KA</v>
      </c>
      <c r="J7" s="131" t="str">
        <f t="array" ref="J7">VLOOKUP($H7,CHOOSE({1,2,3,4,5},$F$3:$F$835,$D$3:$D$835,$B$3:$B$835,$C$3:$C$835,$E$3:$E$835),3,0)</f>
        <v>Manjul</v>
      </c>
      <c r="K7" s="131" t="str">
        <f t="array" ref="K7">VLOOKUP($H7,CHOOSE({1,2,3,4,5},$F$3:$F$835,$D$3:$D$835,$B$3:$B$835,$C$3:$C$835,$E$3:$E$835),4,0)</f>
        <v>HECC</v>
      </c>
      <c r="L7" s="131">
        <f t="array" ref="L7">VLOOKUP($H7,CHOOSE({1,2,3,4,5},$F$3:$F$835,$D$3:$D$835,$B$3:$B$835,$C$3:$C$835,$E$3:$E$835),5,0)</f>
        <v>3483</v>
      </c>
      <c r="M7" s="134"/>
      <c r="N7" s="24">
        <v>344520</v>
      </c>
      <c r="O7" s="131" t="str">
        <f t="array" ref="O7">HLOOKUP($N7,TRANSPOSE(CHOOSE({1,2,3,4,5,6},$F$3:$F$835,$B$3:$B$835,$E$3:$E$835,$C$3:$C$835,$A$3:$A$835,$D$3:$D$835)),2,0)</f>
        <v>Manjul</v>
      </c>
      <c r="P7" s="131">
        <f t="array" ref="P7">HLOOKUP($N7,TRANSPOSE(CHOOSE({1,2,3,4,5,6},$F$3:$F$835,$B$3:$B$835,$E$3:$E$835,$C$3:$C$835,$A$3:$A$835,$D$3:$D$835)),3,0)</f>
        <v>3483</v>
      </c>
      <c r="Q7" s="131" t="str">
        <f t="array" ref="Q7">HLOOKUP($N7,TRANSPOSE(CHOOSE({1,2,3,4,5,6},$F$3:$F$835,$B$3:$B$835,$E$3:$E$835,$C$3:$C$835,$A$3:$A$835,$D$3:$D$835)),4,0)</f>
        <v>HECC</v>
      </c>
      <c r="R7" s="131">
        <f t="array" ref="R7">HLOOKUP($N7,TRANSPOSE(CHOOSE({1,2,3,4,5,6},$F$3:$F$835,$B$3:$B$835,$E$3:$E$835,$C$3:$C$835,$A$3:$A$835,$D$3:$D$835)),1,0)</f>
        <v>344520</v>
      </c>
      <c r="S7" s="214" cm="1">
        <f t="array" ref="S7">HLOOKUP($N7,TRANSPOSE(CHOOSE({1,2,3,4,5,6},$F$3:$F$835,$B$3:$B$835,$E$3:$E$835,$C$3:$C$835,$A$3:$A$835,$D$3:$D$835)),5,0)</f>
        <v>43132</v>
      </c>
      <c r="T7" s="131" t="str">
        <f t="array" ref="T7">HLOOKUP($N7,TRANSPOSE(CHOOSE({1,2,3,4,5,6},$F$3:$F$835,$B$3:$B$835,$E$3:$E$835,$C$3:$C$835,$A$3:$A$835,$D$3:$D$835)),6,0)</f>
        <v>KA</v>
      </c>
      <c r="V7" s="22"/>
      <c r="W7" s="204"/>
    </row>
    <row r="8" spans="1:27" x14ac:dyDescent="0.35">
      <c r="A8" s="130">
        <v>42435</v>
      </c>
      <c r="B8" s="24" t="s">
        <v>252</v>
      </c>
      <c r="C8" s="24" t="s">
        <v>245</v>
      </c>
      <c r="D8" s="24" t="s">
        <v>246</v>
      </c>
      <c r="E8" s="24">
        <v>4846</v>
      </c>
      <c r="F8" s="24">
        <v>356533</v>
      </c>
      <c r="H8" s="24">
        <v>332551</v>
      </c>
      <c r="I8" s="131" t="str">
        <f t="array" ref="I8">VLOOKUP($H8,CHOOSE({1,2,3,4,5},$F$3:$F$835,$D$3:$D$835,$B$3:$B$835,$C$3:$C$835,$E$3:$E$835),2,0)</f>
        <v>KA</v>
      </c>
      <c r="J8" s="131" t="str">
        <f t="array" ref="J8">VLOOKUP($H8,CHOOSE({1,2,3,4,5},$F$3:$F$835,$D$3:$D$835,$B$3:$B$835,$C$3:$C$835,$E$3:$E$835),3,0)</f>
        <v>Taha</v>
      </c>
      <c r="K8" s="131" t="str">
        <f t="array" ref="K8">VLOOKUP($H8,CHOOSE({1,2,3,4,5},$F$3:$F$835,$D$3:$D$835,$B$3:$B$835,$C$3:$C$835,$E$3:$E$835),4,0)</f>
        <v>HECC</v>
      </c>
      <c r="L8" s="131">
        <f t="array" ref="L8">VLOOKUP($H8,CHOOSE({1,2,3,4,5},$F$3:$F$835,$D$3:$D$835,$B$3:$B$835,$C$3:$C$835,$E$3:$E$835),5,0)</f>
        <v>3220</v>
      </c>
      <c r="M8" s="134"/>
      <c r="N8" s="24">
        <v>332551</v>
      </c>
      <c r="O8" s="131" t="str">
        <f t="array" ref="O8">HLOOKUP($N8,TRANSPOSE(CHOOSE({1,2,3,4,5,6},$F$3:$F$835,$B$3:$B$835,$E$3:$E$835,$C$3:$C$835,$A$3:$A$835,$D$3:$D$835)),2,0)</f>
        <v>Taha</v>
      </c>
      <c r="P8" s="131">
        <f t="array" ref="P8">HLOOKUP($N8,TRANSPOSE(CHOOSE({1,2,3,4,5,6},$F$3:$F$835,$B$3:$B$835,$E$3:$E$835,$C$3:$C$835,$A$3:$A$835,$D$3:$D$835)),3,0)</f>
        <v>3220</v>
      </c>
      <c r="Q8" s="131" t="str">
        <f t="array" ref="Q8">HLOOKUP($N8,TRANSPOSE(CHOOSE({1,2,3,4,5,6},$F$3:$F$835,$B$3:$B$835,$E$3:$E$835,$C$3:$C$835,$A$3:$A$835,$D$3:$D$835)),4,0)</f>
        <v>HECC</v>
      </c>
      <c r="R8" s="131">
        <f t="array" ref="R8">HLOOKUP($N8,TRANSPOSE(CHOOSE({1,2,3,4,5,6},$F$3:$F$835,$B$3:$B$835,$E$3:$E$835,$C$3:$C$835,$A$3:$A$835,$D$3:$D$835)),1,0)</f>
        <v>332551</v>
      </c>
      <c r="S8" s="214" cm="1">
        <f t="array" ref="S8">HLOOKUP($N8,TRANSPOSE(CHOOSE({1,2,3,4,5,6},$F$3:$F$835,$B$3:$B$835,$E$3:$E$835,$C$3:$C$835,$A$3:$A$835,$D$3:$D$835)),5,0)</f>
        <v>43133</v>
      </c>
      <c r="T8" s="131" t="str">
        <f t="array" ref="T8">HLOOKUP($N8,TRANSPOSE(CHOOSE({1,2,3,4,5,6},$F$3:$F$835,$B$3:$B$835,$E$3:$E$835,$C$3:$C$835,$A$3:$A$835,$D$3:$D$835)),6,0)</f>
        <v>KA</v>
      </c>
      <c r="V8" s="22"/>
      <c r="W8" s="204"/>
    </row>
    <row r="9" spans="1:27" x14ac:dyDescent="0.35">
      <c r="A9" s="130">
        <v>42436</v>
      </c>
      <c r="B9" s="24" t="s">
        <v>253</v>
      </c>
      <c r="C9" s="24" t="s">
        <v>245</v>
      </c>
      <c r="D9" s="24" t="s">
        <v>246</v>
      </c>
      <c r="E9" s="24">
        <v>1435</v>
      </c>
      <c r="F9" s="24">
        <v>356542</v>
      </c>
      <c r="H9" s="24">
        <v>832292</v>
      </c>
      <c r="I9" s="131" t="e">
        <f t="array" ref="I9">VLOOKUP($H9,CHOOSE({1,2,3,4,5},$F$3:$F$835,$D$3:$D$835,$B$3:$B$835,$C$3:$C$835,$E$3:$E$835),2,0)</f>
        <v>#N/A</v>
      </c>
      <c r="J9" s="131" t="e">
        <f t="array" ref="J9">VLOOKUP($H9,CHOOSE({1,2,3,4,5},$F$3:$F$835,$D$3:$D$835,$B$3:$B$835,$C$3:$C$835,$E$3:$E$835),3,0)</f>
        <v>#N/A</v>
      </c>
      <c r="K9" s="131" t="e">
        <f t="array" ref="K9">VLOOKUP($H9,CHOOSE({1,2,3,4,5},$F$3:$F$835,$D$3:$D$835,$B$3:$B$835,$C$3:$C$835,$E$3:$E$835),4,0)</f>
        <v>#N/A</v>
      </c>
      <c r="L9" s="131" t="e">
        <f t="array" ref="L9">VLOOKUP($H9,CHOOSE({1,2,3,4,5},$F$3:$F$835,$D$3:$D$835,$B$3:$B$835,$C$3:$C$835,$E$3:$E$835),5,0)</f>
        <v>#N/A</v>
      </c>
      <c r="M9" s="134"/>
      <c r="N9" s="24">
        <v>832292</v>
      </c>
      <c r="O9" s="131" t="e">
        <f t="array" ref="O9">HLOOKUP($N9,TRANSPOSE(CHOOSE({1,2,3,4,5,6},$F$3:$F$835,$B$3:$B$835,$E$3:$E$835,$C$3:$C$835,$A$3:$A$835,$D$3:$D$835)),2,0)</f>
        <v>#N/A</v>
      </c>
      <c r="P9" s="131" t="e">
        <f t="array" ref="P9">HLOOKUP($N9,TRANSPOSE(CHOOSE({1,2,3,4,5,6},$F$3:$F$835,$B$3:$B$835,$E$3:$E$835,$C$3:$C$835,$A$3:$A$835,$D$3:$D$835)),3,0)</f>
        <v>#N/A</v>
      </c>
      <c r="Q9" s="131" t="e">
        <f t="array" ref="Q9">HLOOKUP($N9,TRANSPOSE(CHOOSE({1,2,3,4,5,6},$F$3:$F$835,$B$3:$B$835,$E$3:$E$835,$C$3:$C$835,$A$3:$A$835,$D$3:$D$835)),4,0)</f>
        <v>#N/A</v>
      </c>
      <c r="R9" s="131" t="e">
        <f t="array" ref="R9">HLOOKUP($N9,TRANSPOSE(CHOOSE({1,2,3,4,5,6},$F$3:$F$835,$B$3:$B$835,$E$3:$E$835,$C$3:$C$835,$A$3:$A$835,$D$3:$D$835)),1,0)</f>
        <v>#N/A</v>
      </c>
      <c r="S9" s="214" t="e" cm="1">
        <f t="array" ref="S9">HLOOKUP($N9,TRANSPOSE(CHOOSE({1,2,3,4,5,6},$F$3:$F$835,$B$3:$B$835,$E$3:$E$835,$C$3:$C$835,$A$3:$A$835,$D$3:$D$835)),5,0)</f>
        <v>#N/A</v>
      </c>
      <c r="T9" s="131" t="e">
        <f t="array" ref="T9">HLOOKUP($N9,TRANSPOSE(CHOOSE({1,2,3,4,5,6},$F$3:$F$835,$B$3:$B$835,$E$3:$E$835,$C$3:$C$835,$A$3:$A$835,$D$3:$D$835)),6,0)</f>
        <v>#N/A</v>
      </c>
      <c r="V9" s="22"/>
      <c r="W9" s="204"/>
    </row>
    <row r="10" spans="1:27" x14ac:dyDescent="0.35">
      <c r="A10" s="130">
        <v>42437</v>
      </c>
      <c r="B10" s="24" t="s">
        <v>254</v>
      </c>
      <c r="C10" s="24" t="s">
        <v>245</v>
      </c>
      <c r="D10" s="24" t="s">
        <v>246</v>
      </c>
      <c r="E10" s="24">
        <v>2647</v>
      </c>
      <c r="F10" s="24">
        <v>356546</v>
      </c>
      <c r="H10" s="24">
        <v>300817</v>
      </c>
      <c r="I10" s="131" t="e">
        <f t="array" ref="I10">VLOOKUP($H10,CHOOSE({1,2,3,4,5},$F$3:$F$835,$D$3:$D$835,$B$3:$B$835,$C$3:$C$835,$E$3:$E$835),2,0)</f>
        <v>#N/A</v>
      </c>
      <c r="J10" s="131" t="e">
        <f t="array" ref="J10">VLOOKUP($H10,CHOOSE({1,2,3,4,5},$F$3:$F$835,$D$3:$D$835,$B$3:$B$835,$C$3:$C$835,$E$3:$E$835),3,0)</f>
        <v>#N/A</v>
      </c>
      <c r="K10" s="131" t="e">
        <f t="array" ref="K10">VLOOKUP($H10,CHOOSE({1,2,3,4,5},$F$3:$F$835,$D$3:$D$835,$B$3:$B$835,$C$3:$C$835,$E$3:$E$835),4,0)</f>
        <v>#N/A</v>
      </c>
      <c r="L10" s="131" t="e">
        <f t="array" ref="L10">VLOOKUP($H10,CHOOSE({1,2,3,4,5},$F$3:$F$835,$D$3:$D$835,$B$3:$B$835,$C$3:$C$835,$E$3:$E$835),5,0)</f>
        <v>#N/A</v>
      </c>
      <c r="M10" s="134"/>
      <c r="N10" s="24">
        <v>300817</v>
      </c>
      <c r="O10" s="131" t="e">
        <f t="array" ref="O10">HLOOKUP($N10,TRANSPOSE(CHOOSE({1,2,3,4,5,6},$F$3:$F$835,$B$3:$B$835,$E$3:$E$835,$C$3:$C$835,$A$3:$A$835,$D$3:$D$835)),2,0)</f>
        <v>#N/A</v>
      </c>
      <c r="P10" s="131" t="e">
        <f t="array" ref="P10">HLOOKUP($N10,TRANSPOSE(CHOOSE({1,2,3,4,5,6},$F$3:$F$835,$B$3:$B$835,$E$3:$E$835,$C$3:$C$835,$A$3:$A$835,$D$3:$D$835)),3,0)</f>
        <v>#N/A</v>
      </c>
      <c r="Q10" s="131" t="e">
        <f t="array" ref="Q10">HLOOKUP($N10,TRANSPOSE(CHOOSE({1,2,3,4,5,6},$F$3:$F$835,$B$3:$B$835,$E$3:$E$835,$C$3:$C$835,$A$3:$A$835,$D$3:$D$835)),4,0)</f>
        <v>#N/A</v>
      </c>
      <c r="R10" s="131" t="e">
        <f t="array" ref="R10">HLOOKUP($N10,TRANSPOSE(CHOOSE({1,2,3,4,5,6},$F$3:$F$835,$B$3:$B$835,$E$3:$E$835,$C$3:$C$835,$A$3:$A$835,$D$3:$D$835)),1,0)</f>
        <v>#N/A</v>
      </c>
      <c r="S10" s="214" t="e" cm="1">
        <f t="array" ref="S10">HLOOKUP($N10,TRANSPOSE(CHOOSE({1,2,3,4,5,6},$F$3:$F$835,$B$3:$B$835,$E$3:$E$835,$C$3:$C$835,$A$3:$A$835,$D$3:$D$835)),5,0)</f>
        <v>#N/A</v>
      </c>
      <c r="T10" s="131" t="e">
        <f t="array" ref="T10">HLOOKUP($N10,TRANSPOSE(CHOOSE({1,2,3,4,5,6},$F$3:$F$835,$B$3:$B$835,$E$3:$E$835,$C$3:$C$835,$A$3:$A$835,$D$3:$D$835)),6,0)</f>
        <v>#N/A</v>
      </c>
      <c r="V10" s="22"/>
      <c r="W10" s="204"/>
    </row>
    <row r="11" spans="1:27" x14ac:dyDescent="0.35">
      <c r="A11" s="130">
        <v>42438</v>
      </c>
      <c r="B11" s="24" t="s">
        <v>255</v>
      </c>
      <c r="C11" s="24" t="s">
        <v>245</v>
      </c>
      <c r="D11" s="24" t="s">
        <v>246</v>
      </c>
      <c r="E11" s="24">
        <v>2030</v>
      </c>
      <c r="F11" s="24">
        <v>356548</v>
      </c>
      <c r="H11" s="24">
        <v>404403</v>
      </c>
      <c r="I11" s="131" t="e">
        <f t="array" ref="I11">VLOOKUP($H11,CHOOSE({1,2,3,4,5},$F$3:$F$835,$D$3:$D$835,$B$3:$B$835,$C$3:$C$835,$E$3:$E$835),2,0)</f>
        <v>#N/A</v>
      </c>
      <c r="J11" s="131" t="e">
        <f t="array" ref="J11">VLOOKUP($H11,CHOOSE({1,2,3,4,5},$F$3:$F$835,$D$3:$D$835,$B$3:$B$835,$C$3:$C$835,$E$3:$E$835),3,0)</f>
        <v>#N/A</v>
      </c>
      <c r="K11" s="131" t="e">
        <f t="array" ref="K11">VLOOKUP($H11,CHOOSE({1,2,3,4,5},$F$3:$F$835,$D$3:$D$835,$B$3:$B$835,$C$3:$C$835,$E$3:$E$835),4,0)</f>
        <v>#N/A</v>
      </c>
      <c r="L11" s="131" t="e">
        <f t="array" ref="L11">VLOOKUP($H11,CHOOSE({1,2,3,4,5},$F$3:$F$835,$D$3:$D$835,$B$3:$B$835,$C$3:$C$835,$E$3:$E$835),5,0)</f>
        <v>#N/A</v>
      </c>
      <c r="M11" s="134"/>
      <c r="N11" s="24">
        <v>404403</v>
      </c>
      <c r="O11" s="131" t="e">
        <f t="array" ref="O11">HLOOKUP($N11,TRANSPOSE(CHOOSE({1,2,3,4,5,6},$F$3:$F$835,$B$3:$B$835,$E$3:$E$835,$C$3:$C$835,$A$3:$A$835,$D$3:$D$835)),2,0)</f>
        <v>#N/A</v>
      </c>
      <c r="P11" s="131" t="e">
        <f t="array" ref="P11">HLOOKUP($N11,TRANSPOSE(CHOOSE({1,2,3,4,5,6},$F$3:$F$835,$B$3:$B$835,$E$3:$E$835,$C$3:$C$835,$A$3:$A$835,$D$3:$D$835)),3,0)</f>
        <v>#N/A</v>
      </c>
      <c r="Q11" s="131" t="e">
        <f t="array" ref="Q11">HLOOKUP($N11,TRANSPOSE(CHOOSE({1,2,3,4,5,6},$F$3:$F$835,$B$3:$B$835,$E$3:$E$835,$C$3:$C$835,$A$3:$A$835,$D$3:$D$835)),4,0)</f>
        <v>#N/A</v>
      </c>
      <c r="R11" s="131" t="e">
        <f t="array" ref="R11">HLOOKUP($N11,TRANSPOSE(CHOOSE({1,2,3,4,5,6},$F$3:$F$835,$B$3:$B$835,$E$3:$E$835,$C$3:$C$835,$A$3:$A$835,$D$3:$D$835)),1,0)</f>
        <v>#N/A</v>
      </c>
      <c r="S11" s="214" t="e" cm="1">
        <f t="array" ref="S11">HLOOKUP($N11,TRANSPOSE(CHOOSE({1,2,3,4,5,6},$F$3:$F$835,$B$3:$B$835,$E$3:$E$835,$C$3:$C$835,$A$3:$A$835,$D$3:$D$835)),5,0)</f>
        <v>#N/A</v>
      </c>
      <c r="T11" s="131" t="e">
        <f t="array" ref="T11">HLOOKUP($N11,TRANSPOSE(CHOOSE({1,2,3,4,5,6},$F$3:$F$835,$B$3:$B$835,$E$3:$E$835,$C$3:$C$835,$A$3:$A$835,$D$3:$D$835)),6,0)</f>
        <v>#N/A</v>
      </c>
      <c r="V11" s="22"/>
      <c r="W11" s="204"/>
    </row>
    <row r="12" spans="1:27" x14ac:dyDescent="0.35">
      <c r="A12" s="130">
        <v>42439</v>
      </c>
      <c r="B12" s="24" t="s">
        <v>256</v>
      </c>
      <c r="C12" s="24" t="s">
        <v>245</v>
      </c>
      <c r="D12" s="24" t="s">
        <v>246</v>
      </c>
      <c r="E12" s="24">
        <v>4453</v>
      </c>
      <c r="F12" s="24">
        <v>356549</v>
      </c>
      <c r="H12" s="24">
        <v>332583</v>
      </c>
      <c r="I12" s="131" t="str">
        <f t="array" ref="I12">VLOOKUP($H12,CHOOSE({1,2,3,4,5},$F$3:$F$835,$D$3:$D$835,$B$3:$B$835,$C$3:$C$835,$E$3:$E$835),2,0)</f>
        <v>KA</v>
      </c>
      <c r="J12" s="131" t="str">
        <f t="array" ref="J12">VLOOKUP($H12,CHOOSE({1,2,3,4,5},$F$3:$F$835,$D$3:$D$835,$B$3:$B$835,$C$3:$C$835,$E$3:$E$835),3,0)</f>
        <v>Taha</v>
      </c>
      <c r="K12" s="131" t="str">
        <f t="array" ref="K12">VLOOKUP($H12,CHOOSE({1,2,3,4,5},$F$3:$F$835,$D$3:$D$835,$B$3:$B$835,$C$3:$C$835,$E$3:$E$835),4,0)</f>
        <v>HECC</v>
      </c>
      <c r="L12" s="131">
        <f t="array" ref="L12">VLOOKUP($H12,CHOOSE({1,2,3,4,5},$F$3:$F$835,$D$3:$D$835,$B$3:$B$835,$C$3:$C$835,$E$3:$E$835),5,0)</f>
        <v>1466</v>
      </c>
      <c r="M12" s="134"/>
      <c r="N12" s="24">
        <v>332583</v>
      </c>
      <c r="O12" s="131" t="str">
        <f t="array" ref="O12">HLOOKUP($N12,TRANSPOSE(CHOOSE({1,2,3,4,5,6},$F$3:$F$835,$B$3:$B$835,$E$3:$E$835,$C$3:$C$835,$A$3:$A$835,$D$3:$D$835)),2,0)</f>
        <v>Taha</v>
      </c>
      <c r="P12" s="131">
        <f t="array" ref="P12">HLOOKUP($N12,TRANSPOSE(CHOOSE({1,2,3,4,5,6},$F$3:$F$835,$B$3:$B$835,$E$3:$E$835,$C$3:$C$835,$A$3:$A$835,$D$3:$D$835)),3,0)</f>
        <v>1466</v>
      </c>
      <c r="Q12" s="131" t="str">
        <f t="array" ref="Q12">HLOOKUP($N12,TRANSPOSE(CHOOSE({1,2,3,4,5,6},$F$3:$F$835,$B$3:$B$835,$E$3:$E$835,$C$3:$C$835,$A$3:$A$835,$D$3:$D$835)),4,0)</f>
        <v>HECC</v>
      </c>
      <c r="R12" s="131">
        <f t="array" ref="R12">HLOOKUP($N12,TRANSPOSE(CHOOSE({1,2,3,4,5,6},$F$3:$F$835,$B$3:$B$835,$E$3:$E$835,$C$3:$C$835,$A$3:$A$835,$D$3:$D$835)),1,0)</f>
        <v>332583</v>
      </c>
      <c r="S12" s="214" cm="1">
        <f t="array" ref="S12">HLOOKUP($N12,TRANSPOSE(CHOOSE({1,2,3,4,5,6},$F$3:$F$835,$B$3:$B$835,$E$3:$E$835,$C$3:$C$835,$A$3:$A$835,$D$3:$D$835)),5,0)</f>
        <v>43134</v>
      </c>
      <c r="T12" s="131" t="str">
        <f t="array" ref="T12">HLOOKUP($N12,TRANSPOSE(CHOOSE({1,2,3,4,5,6},$F$3:$F$835,$B$3:$B$835,$E$3:$E$835,$C$3:$C$835,$A$3:$A$835,$D$3:$D$835)),6,0)</f>
        <v>KA</v>
      </c>
      <c r="V12" s="22"/>
      <c r="W12" s="204"/>
    </row>
    <row r="13" spans="1:27" x14ac:dyDescent="0.35">
      <c r="A13" s="130">
        <v>42440</v>
      </c>
      <c r="B13" s="24" t="s">
        <v>257</v>
      </c>
      <c r="C13" s="24" t="s">
        <v>248</v>
      </c>
      <c r="D13" s="24" t="s">
        <v>246</v>
      </c>
      <c r="E13" s="24">
        <v>1297</v>
      </c>
      <c r="F13" s="24">
        <v>356550</v>
      </c>
      <c r="H13" s="24">
        <v>332657</v>
      </c>
      <c r="I13" s="131" t="str">
        <f t="array" ref="I13">VLOOKUP($H13,CHOOSE({1,2,3,4,5},$F$3:$F$835,$D$3:$D$835,$B$3:$B$835,$C$3:$C$835,$E$3:$E$835),2,0)</f>
        <v>KA</v>
      </c>
      <c r="J13" s="131" t="str">
        <f t="array" ref="J13">VLOOKUP($H13,CHOOSE({1,2,3,4,5},$F$3:$F$835,$D$3:$D$835,$B$3:$B$835,$C$3:$C$835,$E$3:$E$835),3,0)</f>
        <v>Vinitha</v>
      </c>
      <c r="K13" s="131" t="str">
        <f t="array" ref="K13">VLOOKUP($H13,CHOOSE({1,2,3,4,5},$F$3:$F$835,$D$3:$D$835,$B$3:$B$835,$C$3:$C$835,$E$3:$E$835),4,0)</f>
        <v>HECC</v>
      </c>
      <c r="L13" s="131">
        <f t="array" ref="L13">VLOOKUP($H13,CHOOSE({1,2,3,4,5},$F$3:$F$835,$D$3:$D$835,$B$3:$B$835,$C$3:$C$835,$E$3:$E$835),5,0)</f>
        <v>4143</v>
      </c>
      <c r="M13" s="134"/>
      <c r="N13" s="24">
        <v>332657</v>
      </c>
      <c r="O13" s="131" t="str">
        <f t="array" ref="O13">HLOOKUP($N13,TRANSPOSE(CHOOSE({1,2,3,4,5,6},$F$3:$F$835,$B$3:$B$835,$E$3:$E$835,$C$3:$C$835,$A$3:$A$835,$D$3:$D$835)),2,0)</f>
        <v>Vinitha</v>
      </c>
      <c r="P13" s="131">
        <f t="array" ref="P13">HLOOKUP($N13,TRANSPOSE(CHOOSE({1,2,3,4,5,6},$F$3:$F$835,$B$3:$B$835,$E$3:$E$835,$C$3:$C$835,$A$3:$A$835,$D$3:$D$835)),3,0)</f>
        <v>4143</v>
      </c>
      <c r="Q13" s="131" t="str">
        <f t="array" ref="Q13">HLOOKUP($N13,TRANSPOSE(CHOOSE({1,2,3,4,5,6},$F$3:$F$835,$B$3:$B$835,$E$3:$E$835,$C$3:$C$835,$A$3:$A$835,$D$3:$D$835)),4,0)</f>
        <v>HECC</v>
      </c>
      <c r="R13" s="131">
        <f t="array" ref="R13">HLOOKUP($N13,TRANSPOSE(CHOOSE({1,2,3,4,5,6},$F$3:$F$835,$B$3:$B$835,$E$3:$E$835,$C$3:$C$835,$A$3:$A$835,$D$3:$D$835)),1,0)</f>
        <v>332657</v>
      </c>
      <c r="S13" s="214" cm="1">
        <f t="array" ref="S13">HLOOKUP($N13,TRANSPOSE(CHOOSE({1,2,3,4,5,6},$F$3:$F$835,$B$3:$B$835,$E$3:$E$835,$C$3:$C$835,$A$3:$A$835,$D$3:$D$835)),5,0)</f>
        <v>43135</v>
      </c>
      <c r="T13" s="131" t="str">
        <f t="array" ref="T13">HLOOKUP($N13,TRANSPOSE(CHOOSE({1,2,3,4,5,6},$F$3:$F$835,$B$3:$B$835,$E$3:$E$835,$C$3:$C$835,$A$3:$A$835,$D$3:$D$835)),6,0)</f>
        <v>KA</v>
      </c>
      <c r="V13" s="22"/>
      <c r="W13" s="204"/>
    </row>
    <row r="14" spans="1:27" x14ac:dyDescent="0.35">
      <c r="A14" s="130">
        <v>42441</v>
      </c>
      <c r="B14" s="24" t="s">
        <v>258</v>
      </c>
      <c r="C14" s="24" t="s">
        <v>245</v>
      </c>
      <c r="D14" s="24" t="s">
        <v>246</v>
      </c>
      <c r="E14" s="24">
        <v>2444</v>
      </c>
      <c r="F14" s="24">
        <v>356555</v>
      </c>
      <c r="H14" s="24">
        <v>332659</v>
      </c>
      <c r="I14" s="131" t="str">
        <f t="array" ref="I14">VLOOKUP($H14,CHOOSE({1,2,3,4,5},$F$3:$F$835,$D$3:$D$835,$B$3:$B$835,$C$3:$C$835,$E$3:$E$835),2,0)</f>
        <v>KA</v>
      </c>
      <c r="J14" s="131" t="str">
        <f t="array" ref="J14">VLOOKUP($H14,CHOOSE({1,2,3,4,5},$F$3:$F$835,$D$3:$D$835,$B$3:$B$835,$C$3:$C$835,$E$3:$E$835),3,0)</f>
        <v>Vinitha</v>
      </c>
      <c r="K14" s="131" t="str">
        <f t="array" ref="K14">VLOOKUP($H14,CHOOSE({1,2,3,4,5},$F$3:$F$835,$D$3:$D$835,$B$3:$B$835,$C$3:$C$835,$E$3:$E$835),4,0)</f>
        <v>HECC</v>
      </c>
      <c r="L14" s="131">
        <f t="array" ref="L14">VLOOKUP($H14,CHOOSE({1,2,3,4,5},$F$3:$F$835,$D$3:$D$835,$B$3:$B$835,$C$3:$C$835,$E$3:$E$835),5,0)</f>
        <v>3567</v>
      </c>
      <c r="M14" s="134"/>
      <c r="N14" s="24">
        <v>332659</v>
      </c>
      <c r="O14" s="131" t="str">
        <f t="array" ref="O14">HLOOKUP($N14,TRANSPOSE(CHOOSE({1,2,3,4,5,6},$F$3:$F$835,$B$3:$B$835,$E$3:$E$835,$C$3:$C$835,$A$3:$A$835,$D$3:$D$835)),2,0)</f>
        <v>Vinitha</v>
      </c>
      <c r="P14" s="131">
        <f t="array" ref="P14">HLOOKUP($N14,TRANSPOSE(CHOOSE({1,2,3,4,5,6},$F$3:$F$835,$B$3:$B$835,$E$3:$E$835,$C$3:$C$835,$A$3:$A$835,$D$3:$D$835)),3,0)</f>
        <v>3567</v>
      </c>
      <c r="Q14" s="131" t="str">
        <f t="array" ref="Q14">HLOOKUP($N14,TRANSPOSE(CHOOSE({1,2,3,4,5,6},$F$3:$F$835,$B$3:$B$835,$E$3:$E$835,$C$3:$C$835,$A$3:$A$835,$D$3:$D$835)),4,0)</f>
        <v>HECC</v>
      </c>
      <c r="R14" s="131">
        <f t="array" ref="R14">HLOOKUP($N14,TRANSPOSE(CHOOSE({1,2,3,4,5,6},$F$3:$F$835,$B$3:$B$835,$E$3:$E$835,$C$3:$C$835,$A$3:$A$835,$D$3:$D$835)),1,0)</f>
        <v>332659</v>
      </c>
      <c r="S14" s="214" cm="1">
        <f t="array" ref="S14">HLOOKUP($N14,TRANSPOSE(CHOOSE({1,2,3,4,5,6},$F$3:$F$835,$B$3:$B$835,$E$3:$E$835,$C$3:$C$835,$A$3:$A$835,$D$3:$D$835)),5,0)</f>
        <v>43136</v>
      </c>
      <c r="T14" s="131" t="str">
        <f t="array" ref="T14">HLOOKUP($N14,TRANSPOSE(CHOOSE({1,2,3,4,5,6},$F$3:$F$835,$B$3:$B$835,$E$3:$E$835,$C$3:$C$835,$A$3:$A$835,$D$3:$D$835)),6,0)</f>
        <v>KA</v>
      </c>
      <c r="V14" s="22"/>
      <c r="W14" s="204"/>
    </row>
    <row r="15" spans="1:27" x14ac:dyDescent="0.35">
      <c r="A15" s="130">
        <v>42442</v>
      </c>
      <c r="B15" s="24" t="s">
        <v>259</v>
      </c>
      <c r="C15" s="24" t="s">
        <v>245</v>
      </c>
      <c r="D15" s="24" t="s">
        <v>246</v>
      </c>
      <c r="E15" s="24">
        <v>3146</v>
      </c>
      <c r="F15" s="24">
        <v>356557</v>
      </c>
      <c r="H15" s="24">
        <v>332671</v>
      </c>
      <c r="I15" s="131" t="str">
        <f t="array" ref="I15">VLOOKUP($H15,CHOOSE({1,2,3,4,5},$F$3:$F$835,$D$3:$D$835,$B$3:$B$835,$C$3:$C$835,$E$3:$E$835),2,0)</f>
        <v>KA</v>
      </c>
      <c r="J15" s="131" t="str">
        <f t="array" ref="J15">VLOOKUP($H15,CHOOSE({1,2,3,4,5},$F$3:$F$835,$D$3:$D$835,$B$3:$B$835,$C$3:$C$835,$E$3:$E$835),3,0)</f>
        <v>Rini</v>
      </c>
      <c r="K15" s="131" t="str">
        <f t="array" ref="K15">VLOOKUP($H15,CHOOSE({1,2,3,4,5},$F$3:$F$835,$D$3:$D$835,$B$3:$B$835,$C$3:$C$835,$E$3:$E$835),4,0)</f>
        <v>HECC</v>
      </c>
      <c r="L15" s="131">
        <f t="array" ref="L15">VLOOKUP($H15,CHOOSE({1,2,3,4,5},$F$3:$F$835,$D$3:$D$835,$B$3:$B$835,$C$3:$C$835,$E$3:$E$835),5,0)</f>
        <v>4281</v>
      </c>
      <c r="M15" s="134"/>
      <c r="N15" s="24">
        <v>332671</v>
      </c>
      <c r="O15" s="131" t="str">
        <f t="array" ref="O15">HLOOKUP($N15,TRANSPOSE(CHOOSE({1,2,3,4,5,6},$F$3:$F$835,$B$3:$B$835,$E$3:$E$835,$C$3:$C$835,$A$3:$A$835,$D$3:$D$835)),2,0)</f>
        <v>Rini</v>
      </c>
      <c r="P15" s="131">
        <f t="array" ref="P15">HLOOKUP($N15,TRANSPOSE(CHOOSE({1,2,3,4,5,6},$F$3:$F$835,$B$3:$B$835,$E$3:$E$835,$C$3:$C$835,$A$3:$A$835,$D$3:$D$835)),3,0)</f>
        <v>4281</v>
      </c>
      <c r="Q15" s="131" t="str">
        <f t="array" ref="Q15">HLOOKUP($N15,TRANSPOSE(CHOOSE({1,2,3,4,5,6},$F$3:$F$835,$B$3:$B$835,$E$3:$E$835,$C$3:$C$835,$A$3:$A$835,$D$3:$D$835)),4,0)</f>
        <v>HECC</v>
      </c>
      <c r="R15" s="131">
        <f t="array" ref="R15">HLOOKUP($N15,TRANSPOSE(CHOOSE({1,2,3,4,5,6},$F$3:$F$835,$B$3:$B$835,$E$3:$E$835,$C$3:$C$835,$A$3:$A$835,$D$3:$D$835)),1,0)</f>
        <v>332671</v>
      </c>
      <c r="S15" s="214" cm="1">
        <f t="array" ref="S15">HLOOKUP($N15,TRANSPOSE(CHOOSE({1,2,3,4,5,6},$F$3:$F$835,$B$3:$B$835,$E$3:$E$835,$C$3:$C$835,$A$3:$A$835,$D$3:$D$835)),5,0)</f>
        <v>43137</v>
      </c>
      <c r="T15" s="131" t="str">
        <f t="array" ref="T15">HLOOKUP($N15,TRANSPOSE(CHOOSE({1,2,3,4,5,6},$F$3:$F$835,$B$3:$B$835,$E$3:$E$835,$C$3:$C$835,$A$3:$A$835,$D$3:$D$835)),6,0)</f>
        <v>KA</v>
      </c>
      <c r="V15" s="22"/>
      <c r="W15" s="204"/>
    </row>
    <row r="16" spans="1:27" x14ac:dyDescent="0.35">
      <c r="A16" s="130">
        <v>42443</v>
      </c>
      <c r="B16" s="24" t="s">
        <v>260</v>
      </c>
      <c r="C16" s="24" t="s">
        <v>245</v>
      </c>
      <c r="D16" s="24" t="s">
        <v>246</v>
      </c>
      <c r="E16" s="24">
        <v>3860</v>
      </c>
      <c r="F16" s="24">
        <v>356587</v>
      </c>
      <c r="H16" s="24">
        <v>332672</v>
      </c>
      <c r="I16" s="131" t="str">
        <f t="array" ref="I16">VLOOKUP($H16,CHOOSE({1,2,3,4,5},$F$3:$F$835,$D$3:$D$835,$B$3:$B$835,$C$3:$C$835,$E$3:$E$835),2,0)</f>
        <v>KA</v>
      </c>
      <c r="J16" s="131" t="str">
        <f t="array" ref="J16">VLOOKUP($H16,CHOOSE({1,2,3,4,5},$F$3:$F$835,$D$3:$D$835,$B$3:$B$835,$C$3:$C$835,$E$3:$E$835),3,0)</f>
        <v>Sushmit</v>
      </c>
      <c r="K16" s="131" t="str">
        <f t="array" ref="K16">VLOOKUP($H16,CHOOSE({1,2,3,4,5},$F$3:$F$835,$D$3:$D$835,$B$3:$B$835,$C$3:$C$835,$E$3:$E$835),4,0)</f>
        <v>HECC</v>
      </c>
      <c r="L16" s="131">
        <f t="array" ref="L16">VLOOKUP($H16,CHOOSE({1,2,3,4,5},$F$3:$F$835,$D$3:$D$835,$B$3:$B$835,$C$3:$C$835,$E$3:$E$835),5,0)</f>
        <v>4477</v>
      </c>
      <c r="M16" s="134"/>
      <c r="N16" s="24">
        <v>332672</v>
      </c>
      <c r="O16" s="131" t="str">
        <f t="array" ref="O16">HLOOKUP($N16,TRANSPOSE(CHOOSE({1,2,3,4,5,6},$F$3:$F$835,$B$3:$B$835,$E$3:$E$835,$C$3:$C$835,$A$3:$A$835,$D$3:$D$835)),2,0)</f>
        <v>Sushmit</v>
      </c>
      <c r="P16" s="131">
        <f t="array" ref="P16">HLOOKUP($N16,TRANSPOSE(CHOOSE({1,2,3,4,5,6},$F$3:$F$835,$B$3:$B$835,$E$3:$E$835,$C$3:$C$835,$A$3:$A$835,$D$3:$D$835)),3,0)</f>
        <v>4477</v>
      </c>
      <c r="Q16" s="131" t="str">
        <f t="array" ref="Q16">HLOOKUP($N16,TRANSPOSE(CHOOSE({1,2,3,4,5,6},$F$3:$F$835,$B$3:$B$835,$E$3:$E$835,$C$3:$C$835,$A$3:$A$835,$D$3:$D$835)),4,0)</f>
        <v>HECC</v>
      </c>
      <c r="R16" s="131">
        <f t="array" ref="R16">HLOOKUP($N16,TRANSPOSE(CHOOSE({1,2,3,4,5,6},$F$3:$F$835,$B$3:$B$835,$E$3:$E$835,$C$3:$C$835,$A$3:$A$835,$D$3:$D$835)),1,0)</f>
        <v>332672</v>
      </c>
      <c r="S16" s="214" cm="1">
        <f t="array" ref="S16">HLOOKUP($N16,TRANSPOSE(CHOOSE({1,2,3,4,5,6},$F$3:$F$835,$B$3:$B$835,$E$3:$E$835,$C$3:$C$835,$A$3:$A$835,$D$3:$D$835)),5,0)</f>
        <v>43138</v>
      </c>
      <c r="T16" s="131" t="str">
        <f t="array" ref="T16">HLOOKUP($N16,TRANSPOSE(CHOOSE({1,2,3,4,5,6},$F$3:$F$835,$B$3:$B$835,$E$3:$E$835,$C$3:$C$835,$A$3:$A$835,$D$3:$D$835)),6,0)</f>
        <v>KA</v>
      </c>
      <c r="V16" s="22"/>
      <c r="W16" s="204"/>
    </row>
    <row r="17" spans="1:23" x14ac:dyDescent="0.35">
      <c r="A17" s="130">
        <v>42444</v>
      </c>
      <c r="B17" s="24" t="s">
        <v>261</v>
      </c>
      <c r="C17" s="24" t="s">
        <v>245</v>
      </c>
      <c r="D17" s="24" t="s">
        <v>246</v>
      </c>
      <c r="E17" s="24">
        <v>1759</v>
      </c>
      <c r="F17" s="24">
        <v>356590</v>
      </c>
      <c r="H17" s="24">
        <v>332679</v>
      </c>
      <c r="I17" s="131" t="str">
        <f t="array" ref="I17">VLOOKUP($H17,CHOOSE({1,2,3,4,5},$F$3:$F$835,$D$3:$D$835,$B$3:$B$835,$C$3:$C$835,$E$3:$E$835),2,0)</f>
        <v>KA</v>
      </c>
      <c r="J17" s="131" t="str">
        <f t="array" ref="J17">VLOOKUP($H17,CHOOSE({1,2,3,4,5},$F$3:$F$835,$D$3:$D$835,$B$3:$B$835,$C$3:$C$835,$E$3:$E$835),3,0)</f>
        <v>Thimmar</v>
      </c>
      <c r="K17" s="131" t="str">
        <f t="array" ref="K17">VLOOKUP($H17,CHOOSE({1,2,3,4,5},$F$3:$F$835,$D$3:$D$835,$B$3:$B$835,$C$3:$C$835,$E$3:$E$835),4,0)</f>
        <v>HECC</v>
      </c>
      <c r="L17" s="131">
        <f t="array" ref="L17">VLOOKUP($H17,CHOOSE({1,2,3,4,5},$F$3:$F$835,$D$3:$D$835,$B$3:$B$835,$C$3:$C$835,$E$3:$E$835),5,0)</f>
        <v>2987</v>
      </c>
      <c r="M17" s="134"/>
      <c r="N17" s="24">
        <v>332679</v>
      </c>
      <c r="O17" s="131" t="str">
        <f t="array" ref="O17">HLOOKUP($N17,TRANSPOSE(CHOOSE({1,2,3,4,5,6},$F$3:$F$835,$B$3:$B$835,$E$3:$E$835,$C$3:$C$835,$A$3:$A$835,$D$3:$D$835)),2,0)</f>
        <v>Thimmar</v>
      </c>
      <c r="P17" s="131">
        <f t="array" ref="P17">HLOOKUP($N17,TRANSPOSE(CHOOSE({1,2,3,4,5,6},$F$3:$F$835,$B$3:$B$835,$E$3:$E$835,$C$3:$C$835,$A$3:$A$835,$D$3:$D$835)),3,0)</f>
        <v>2987</v>
      </c>
      <c r="Q17" s="131" t="str">
        <f t="array" ref="Q17">HLOOKUP($N17,TRANSPOSE(CHOOSE({1,2,3,4,5,6},$F$3:$F$835,$B$3:$B$835,$E$3:$E$835,$C$3:$C$835,$A$3:$A$835,$D$3:$D$835)),4,0)</f>
        <v>HECC</v>
      </c>
      <c r="R17" s="131">
        <f t="array" ref="R17">HLOOKUP($N17,TRANSPOSE(CHOOSE({1,2,3,4,5,6},$F$3:$F$835,$B$3:$B$835,$E$3:$E$835,$C$3:$C$835,$A$3:$A$835,$D$3:$D$835)),1,0)</f>
        <v>332679</v>
      </c>
      <c r="S17" s="214" cm="1">
        <f t="array" ref="S17">HLOOKUP($N17,TRANSPOSE(CHOOSE({1,2,3,4,5,6},$F$3:$F$835,$B$3:$B$835,$E$3:$E$835,$C$3:$C$835,$A$3:$A$835,$D$3:$D$835)),5,0)</f>
        <v>43139</v>
      </c>
      <c r="T17" s="131" t="str">
        <f t="array" ref="T17">HLOOKUP($N17,TRANSPOSE(CHOOSE({1,2,3,4,5,6},$F$3:$F$835,$B$3:$B$835,$E$3:$E$835,$C$3:$C$835,$A$3:$A$835,$D$3:$D$835)),6,0)</f>
        <v>KA</v>
      </c>
      <c r="V17" s="22"/>
      <c r="W17" s="204"/>
    </row>
    <row r="18" spans="1:23" x14ac:dyDescent="0.35">
      <c r="A18" s="130">
        <v>42445</v>
      </c>
      <c r="B18" s="24" t="s">
        <v>262</v>
      </c>
      <c r="C18" s="24" t="s">
        <v>245</v>
      </c>
      <c r="D18" s="24" t="s">
        <v>246</v>
      </c>
      <c r="E18" s="24">
        <v>2886</v>
      </c>
      <c r="F18" s="24">
        <v>356595</v>
      </c>
      <c r="H18" s="24">
        <v>101157</v>
      </c>
      <c r="I18" s="131" t="e">
        <f t="array" ref="I18">VLOOKUP($H18,CHOOSE({1,2,3,4,5},$F$3:$F$835,$D$3:$D$835,$B$3:$B$835,$C$3:$C$835,$E$3:$E$835),2,0)</f>
        <v>#N/A</v>
      </c>
      <c r="J18" s="131" t="e">
        <f t="array" ref="J18">VLOOKUP($H18,CHOOSE({1,2,3,4,5},$F$3:$F$835,$D$3:$D$835,$B$3:$B$835,$C$3:$C$835,$E$3:$E$835),3,0)</f>
        <v>#N/A</v>
      </c>
      <c r="K18" s="131" t="e">
        <f t="array" ref="K18">VLOOKUP($H18,CHOOSE({1,2,3,4,5},$F$3:$F$835,$D$3:$D$835,$B$3:$B$835,$C$3:$C$835,$E$3:$E$835),4,0)</f>
        <v>#N/A</v>
      </c>
      <c r="L18" s="131" t="e">
        <f t="array" ref="L18">VLOOKUP($H18,CHOOSE({1,2,3,4,5},$F$3:$F$835,$D$3:$D$835,$B$3:$B$835,$C$3:$C$835,$E$3:$E$835),5,0)</f>
        <v>#N/A</v>
      </c>
      <c r="M18" s="134"/>
      <c r="N18" s="24">
        <v>101157</v>
      </c>
      <c r="O18" s="131" t="e">
        <f t="array" ref="O18">HLOOKUP($N18,TRANSPOSE(CHOOSE({1,2,3,4,5,6},$F$3:$F$835,$B$3:$B$835,$E$3:$E$835,$C$3:$C$835,$A$3:$A$835,$D$3:$D$835)),2,0)</f>
        <v>#N/A</v>
      </c>
      <c r="P18" s="131" t="e">
        <f t="array" ref="P18">HLOOKUP($N18,TRANSPOSE(CHOOSE({1,2,3,4,5,6},$F$3:$F$835,$B$3:$B$835,$E$3:$E$835,$C$3:$C$835,$A$3:$A$835,$D$3:$D$835)),3,0)</f>
        <v>#N/A</v>
      </c>
      <c r="Q18" s="131" t="e">
        <f t="array" ref="Q18">HLOOKUP($N18,TRANSPOSE(CHOOSE({1,2,3,4,5,6},$F$3:$F$835,$B$3:$B$835,$E$3:$E$835,$C$3:$C$835,$A$3:$A$835,$D$3:$D$835)),4,0)</f>
        <v>#N/A</v>
      </c>
      <c r="R18" s="131" t="e">
        <f t="array" ref="R18">HLOOKUP($N18,TRANSPOSE(CHOOSE({1,2,3,4,5,6},$F$3:$F$835,$B$3:$B$835,$E$3:$E$835,$C$3:$C$835,$A$3:$A$835,$D$3:$D$835)),1,0)</f>
        <v>#N/A</v>
      </c>
      <c r="S18" s="214" t="e" cm="1">
        <f t="array" ref="S18">HLOOKUP($N18,TRANSPOSE(CHOOSE({1,2,3,4,5,6},$F$3:$F$835,$B$3:$B$835,$E$3:$E$835,$C$3:$C$835,$A$3:$A$835,$D$3:$D$835)),5,0)</f>
        <v>#N/A</v>
      </c>
      <c r="T18" s="131" t="e">
        <f t="array" ref="T18">HLOOKUP($N18,TRANSPOSE(CHOOSE({1,2,3,4,5,6},$F$3:$F$835,$B$3:$B$835,$E$3:$E$835,$C$3:$C$835,$A$3:$A$835,$D$3:$D$835)),6,0)</f>
        <v>#N/A</v>
      </c>
      <c r="V18" s="22"/>
      <c r="W18" s="204"/>
    </row>
    <row r="19" spans="1:23" x14ac:dyDescent="0.35">
      <c r="A19" s="130">
        <v>42446</v>
      </c>
      <c r="B19" s="24" t="s">
        <v>263</v>
      </c>
      <c r="C19" s="24" t="s">
        <v>245</v>
      </c>
      <c r="D19" s="24" t="s">
        <v>246</v>
      </c>
      <c r="E19" s="24">
        <v>4331</v>
      </c>
      <c r="F19" s="24">
        <v>356600</v>
      </c>
      <c r="H19" s="24">
        <v>332689</v>
      </c>
      <c r="I19" s="131" t="str">
        <f t="array" ref="I19">VLOOKUP($H19,CHOOSE({1,2,3,4,5},$F$3:$F$835,$D$3:$D$835,$B$3:$B$835,$C$3:$C$835,$E$3:$E$835),2,0)</f>
        <v>KA</v>
      </c>
      <c r="J19" s="131" t="str">
        <f t="array" ref="J19">VLOOKUP($H19,CHOOSE({1,2,3,4,5},$F$3:$F$835,$D$3:$D$835,$B$3:$B$835,$C$3:$C$835,$E$3:$E$835),3,0)</f>
        <v>Thimmar</v>
      </c>
      <c r="K19" s="131" t="str">
        <f t="array" ref="K19">VLOOKUP($H19,CHOOSE({1,2,3,4,5},$F$3:$F$835,$D$3:$D$835,$B$3:$B$835,$C$3:$C$835,$E$3:$E$835),4,0)</f>
        <v>HECC</v>
      </c>
      <c r="L19" s="131">
        <f t="array" ref="L19">VLOOKUP($H19,CHOOSE({1,2,3,4,5},$F$3:$F$835,$D$3:$D$835,$B$3:$B$835,$C$3:$C$835,$E$3:$E$835),5,0)</f>
        <v>2071</v>
      </c>
      <c r="M19" s="134"/>
      <c r="N19" s="24">
        <v>332689</v>
      </c>
      <c r="O19" s="131" t="str">
        <f t="array" ref="O19">HLOOKUP($N19,TRANSPOSE(CHOOSE({1,2,3,4,5,6},$F$3:$F$835,$B$3:$B$835,$E$3:$E$835,$C$3:$C$835,$A$3:$A$835,$D$3:$D$835)),2,0)</f>
        <v>Thimmar</v>
      </c>
      <c r="P19" s="131">
        <f t="array" ref="P19">HLOOKUP($N19,TRANSPOSE(CHOOSE({1,2,3,4,5,6},$F$3:$F$835,$B$3:$B$835,$E$3:$E$835,$C$3:$C$835,$A$3:$A$835,$D$3:$D$835)),3,0)</f>
        <v>2071</v>
      </c>
      <c r="Q19" s="131" t="str">
        <f t="array" ref="Q19">HLOOKUP($N19,TRANSPOSE(CHOOSE({1,2,3,4,5,6},$F$3:$F$835,$B$3:$B$835,$E$3:$E$835,$C$3:$C$835,$A$3:$A$835,$D$3:$D$835)),4,0)</f>
        <v>HECC</v>
      </c>
      <c r="R19" s="131">
        <f t="array" ref="R19">HLOOKUP($N19,TRANSPOSE(CHOOSE({1,2,3,4,5,6},$F$3:$F$835,$B$3:$B$835,$E$3:$E$835,$C$3:$C$835,$A$3:$A$835,$D$3:$D$835)),1,0)</f>
        <v>332689</v>
      </c>
      <c r="S19" s="214" cm="1">
        <f t="array" ref="S19">HLOOKUP($N19,TRANSPOSE(CHOOSE({1,2,3,4,5,6},$F$3:$F$835,$B$3:$B$835,$E$3:$E$835,$C$3:$C$835,$A$3:$A$835,$D$3:$D$835)),5,0)</f>
        <v>43140</v>
      </c>
      <c r="T19" s="131" t="str">
        <f t="array" ref="T19">HLOOKUP($N19,TRANSPOSE(CHOOSE({1,2,3,4,5,6},$F$3:$F$835,$B$3:$B$835,$E$3:$E$835,$C$3:$C$835,$A$3:$A$835,$D$3:$D$835)),6,0)</f>
        <v>KA</v>
      </c>
      <c r="V19" s="22"/>
      <c r="W19" s="204"/>
    </row>
    <row r="20" spans="1:23" x14ac:dyDescent="0.35">
      <c r="A20" s="130">
        <v>42447</v>
      </c>
      <c r="B20" s="24" t="s">
        <v>264</v>
      </c>
      <c r="C20" s="24" t="s">
        <v>245</v>
      </c>
      <c r="D20" s="24" t="s">
        <v>246</v>
      </c>
      <c r="E20" s="24">
        <v>3625</v>
      </c>
      <c r="F20" s="24">
        <v>356603</v>
      </c>
      <c r="H20" s="24">
        <v>332690</v>
      </c>
      <c r="I20" s="131" t="str">
        <f t="array" ref="I20">VLOOKUP($H20,CHOOSE({1,2,3,4,5},$F$3:$F$835,$D$3:$D$835,$B$3:$B$835,$C$3:$C$835,$E$3:$E$835),2,0)</f>
        <v>KA</v>
      </c>
      <c r="J20" s="131" t="str">
        <f t="array" ref="J20">VLOOKUP($H20,CHOOSE({1,2,3,4,5},$F$3:$F$835,$D$3:$D$835,$B$3:$B$835,$C$3:$C$835,$E$3:$E$835),3,0)</f>
        <v>Rakesh</v>
      </c>
      <c r="K20" s="131" t="str">
        <f t="array" ref="K20">VLOOKUP($H20,CHOOSE({1,2,3,4,5},$F$3:$F$835,$D$3:$D$835,$B$3:$B$835,$C$3:$C$835,$E$3:$E$835),4,0)</f>
        <v>HECC</v>
      </c>
      <c r="L20" s="131">
        <f t="array" ref="L20">VLOOKUP($H20,CHOOSE({1,2,3,4,5},$F$3:$F$835,$D$3:$D$835,$B$3:$B$835,$C$3:$C$835,$E$3:$E$835),5,0)</f>
        <v>3657</v>
      </c>
      <c r="M20" s="134"/>
      <c r="N20" s="24">
        <v>332690</v>
      </c>
      <c r="O20" s="131" t="str">
        <f t="array" ref="O20">HLOOKUP($N20,TRANSPOSE(CHOOSE({1,2,3,4,5,6},$F$3:$F$835,$B$3:$B$835,$E$3:$E$835,$C$3:$C$835,$A$3:$A$835,$D$3:$D$835)),2,0)</f>
        <v>Rakesh</v>
      </c>
      <c r="P20" s="131">
        <f t="array" ref="P20">HLOOKUP($N20,TRANSPOSE(CHOOSE({1,2,3,4,5,6},$F$3:$F$835,$B$3:$B$835,$E$3:$E$835,$C$3:$C$835,$A$3:$A$835,$D$3:$D$835)),3,0)</f>
        <v>3657</v>
      </c>
      <c r="Q20" s="131" t="str">
        <f t="array" ref="Q20">HLOOKUP($N20,TRANSPOSE(CHOOSE({1,2,3,4,5,6},$F$3:$F$835,$B$3:$B$835,$E$3:$E$835,$C$3:$C$835,$A$3:$A$835,$D$3:$D$835)),4,0)</f>
        <v>HECC</v>
      </c>
      <c r="R20" s="131">
        <f t="array" ref="R20">HLOOKUP($N20,TRANSPOSE(CHOOSE({1,2,3,4,5,6},$F$3:$F$835,$B$3:$B$835,$E$3:$E$835,$C$3:$C$835,$A$3:$A$835,$D$3:$D$835)),1,0)</f>
        <v>332690</v>
      </c>
      <c r="S20" s="214" cm="1">
        <f t="array" ref="S20">HLOOKUP($N20,TRANSPOSE(CHOOSE({1,2,3,4,5,6},$F$3:$F$835,$B$3:$B$835,$E$3:$E$835,$C$3:$C$835,$A$3:$A$835,$D$3:$D$835)),5,0)</f>
        <v>43141</v>
      </c>
      <c r="T20" s="131" t="str">
        <f t="array" ref="T20">HLOOKUP($N20,TRANSPOSE(CHOOSE({1,2,3,4,5,6},$F$3:$F$835,$B$3:$B$835,$E$3:$E$835,$C$3:$C$835,$A$3:$A$835,$D$3:$D$835)),6,0)</f>
        <v>KA</v>
      </c>
      <c r="V20" s="22"/>
      <c r="W20" s="204"/>
    </row>
    <row r="21" spans="1:23" x14ac:dyDescent="0.35">
      <c r="A21" s="130">
        <v>42448</v>
      </c>
      <c r="B21" s="24" t="s">
        <v>265</v>
      </c>
      <c r="C21" s="24" t="s">
        <v>245</v>
      </c>
      <c r="D21" s="24" t="s">
        <v>246</v>
      </c>
      <c r="E21" s="24">
        <v>2531</v>
      </c>
      <c r="F21" s="24">
        <v>356605</v>
      </c>
      <c r="H21" s="24">
        <v>332698</v>
      </c>
      <c r="I21" s="131" t="str">
        <f t="array" ref="I21">VLOOKUP($H21,CHOOSE({1,2,3,4,5},$F$3:$F$835,$D$3:$D$835,$B$3:$B$835,$C$3:$C$835,$E$3:$E$835),2,0)</f>
        <v>KA</v>
      </c>
      <c r="J21" s="131" t="str">
        <f t="array" ref="J21">VLOOKUP($H21,CHOOSE({1,2,3,4,5},$F$3:$F$835,$D$3:$D$835,$B$3:$B$835,$C$3:$C$835,$E$3:$E$835),3,0)</f>
        <v>Rakesh</v>
      </c>
      <c r="K21" s="131" t="str">
        <f t="array" ref="K21">VLOOKUP($H21,CHOOSE({1,2,3,4,5},$F$3:$F$835,$D$3:$D$835,$B$3:$B$835,$C$3:$C$835,$E$3:$E$835),4,0)</f>
        <v>HECC</v>
      </c>
      <c r="L21" s="131">
        <f t="array" ref="L21">VLOOKUP($H21,CHOOSE({1,2,3,4,5},$F$3:$F$835,$D$3:$D$835,$B$3:$B$835,$C$3:$C$835,$E$3:$E$835),5,0)</f>
        <v>4454</v>
      </c>
      <c r="M21" s="134"/>
      <c r="N21" s="24">
        <v>332698</v>
      </c>
      <c r="O21" s="131" t="str">
        <f t="array" ref="O21">HLOOKUP($N21,TRANSPOSE(CHOOSE({1,2,3,4,5,6},$F$3:$F$835,$B$3:$B$835,$E$3:$E$835,$C$3:$C$835,$A$3:$A$835,$D$3:$D$835)),2,0)</f>
        <v>Rakesh</v>
      </c>
      <c r="P21" s="131">
        <f t="array" ref="P21">HLOOKUP($N21,TRANSPOSE(CHOOSE({1,2,3,4,5,6},$F$3:$F$835,$B$3:$B$835,$E$3:$E$835,$C$3:$C$835,$A$3:$A$835,$D$3:$D$835)),3,0)</f>
        <v>4454</v>
      </c>
      <c r="Q21" s="131" t="str">
        <f t="array" ref="Q21">HLOOKUP($N21,TRANSPOSE(CHOOSE({1,2,3,4,5,6},$F$3:$F$835,$B$3:$B$835,$E$3:$E$835,$C$3:$C$835,$A$3:$A$835,$D$3:$D$835)),4,0)</f>
        <v>HECC</v>
      </c>
      <c r="R21" s="131">
        <f t="array" ref="R21">HLOOKUP($N21,TRANSPOSE(CHOOSE({1,2,3,4,5,6},$F$3:$F$835,$B$3:$B$835,$E$3:$E$835,$C$3:$C$835,$A$3:$A$835,$D$3:$D$835)),1,0)</f>
        <v>332698</v>
      </c>
      <c r="S21" s="214" cm="1">
        <f t="array" ref="S21">HLOOKUP($N21,TRANSPOSE(CHOOSE({1,2,3,4,5,6},$F$3:$F$835,$B$3:$B$835,$E$3:$E$835,$C$3:$C$835,$A$3:$A$835,$D$3:$D$835)),5,0)</f>
        <v>43142</v>
      </c>
      <c r="T21" s="131" t="str">
        <f t="array" ref="T21">HLOOKUP($N21,TRANSPOSE(CHOOSE({1,2,3,4,5,6},$F$3:$F$835,$B$3:$B$835,$E$3:$E$835,$C$3:$C$835,$A$3:$A$835,$D$3:$D$835)),6,0)</f>
        <v>KA</v>
      </c>
      <c r="V21" s="22"/>
      <c r="W21" s="204"/>
    </row>
    <row r="22" spans="1:23" x14ac:dyDescent="0.35">
      <c r="A22" s="130">
        <v>42449</v>
      </c>
      <c r="B22" s="24" t="s">
        <v>266</v>
      </c>
      <c r="C22" s="24" t="s">
        <v>245</v>
      </c>
      <c r="D22" s="24" t="s">
        <v>246</v>
      </c>
      <c r="E22" s="24">
        <v>1849</v>
      </c>
      <c r="F22" s="24">
        <v>356606</v>
      </c>
      <c r="H22" s="24">
        <v>332701</v>
      </c>
      <c r="I22" s="131" t="str">
        <f t="array" ref="I22">VLOOKUP($H22,CHOOSE({1,2,3,4,5},$F$3:$F$835,$D$3:$D$835,$B$3:$B$835,$C$3:$C$835,$E$3:$E$835),2,0)</f>
        <v>KA</v>
      </c>
      <c r="J22" s="131" t="str">
        <f t="array" ref="J22">VLOOKUP($H22,CHOOSE({1,2,3,4,5},$F$3:$F$835,$D$3:$D$835,$B$3:$B$835,$C$3:$C$835,$E$3:$E$835),3,0)</f>
        <v>Shrut</v>
      </c>
      <c r="K22" s="131" t="str">
        <f t="array" ref="K22">VLOOKUP($H22,CHOOSE({1,2,3,4,5},$F$3:$F$835,$D$3:$D$835,$B$3:$B$835,$C$3:$C$835,$E$3:$E$835),4,0)</f>
        <v>HECC</v>
      </c>
      <c r="L22" s="131">
        <f t="array" ref="L22">VLOOKUP($H22,CHOOSE({1,2,3,4,5},$F$3:$F$835,$D$3:$D$835,$B$3:$B$835,$C$3:$C$835,$E$3:$E$835),5,0)</f>
        <v>3022</v>
      </c>
      <c r="M22" s="134"/>
      <c r="N22" s="24">
        <v>332701</v>
      </c>
      <c r="O22" s="131" t="str">
        <f t="array" ref="O22">HLOOKUP($N22,TRANSPOSE(CHOOSE({1,2,3,4,5,6},$F$3:$F$835,$B$3:$B$835,$E$3:$E$835,$C$3:$C$835,$A$3:$A$835,$D$3:$D$835)),2,0)</f>
        <v>Shrut</v>
      </c>
      <c r="P22" s="131">
        <f t="array" ref="P22">HLOOKUP($N22,TRANSPOSE(CHOOSE({1,2,3,4,5,6},$F$3:$F$835,$B$3:$B$835,$E$3:$E$835,$C$3:$C$835,$A$3:$A$835,$D$3:$D$835)),3,0)</f>
        <v>3022</v>
      </c>
      <c r="Q22" s="131" t="str">
        <f t="array" ref="Q22">HLOOKUP($N22,TRANSPOSE(CHOOSE({1,2,3,4,5,6},$F$3:$F$835,$B$3:$B$835,$E$3:$E$835,$C$3:$C$835,$A$3:$A$835,$D$3:$D$835)),4,0)</f>
        <v>HECC</v>
      </c>
      <c r="R22" s="131">
        <f t="array" ref="R22">HLOOKUP($N22,TRANSPOSE(CHOOSE({1,2,3,4,5,6},$F$3:$F$835,$B$3:$B$835,$E$3:$E$835,$C$3:$C$835,$A$3:$A$835,$D$3:$D$835)),1,0)</f>
        <v>332701</v>
      </c>
      <c r="S22" s="214" cm="1">
        <f t="array" ref="S22">HLOOKUP($N22,TRANSPOSE(CHOOSE({1,2,3,4,5,6},$F$3:$F$835,$B$3:$B$835,$E$3:$E$835,$C$3:$C$835,$A$3:$A$835,$D$3:$D$835)),5,0)</f>
        <v>43143</v>
      </c>
      <c r="T22" s="131" t="str">
        <f t="array" ref="T22">HLOOKUP($N22,TRANSPOSE(CHOOSE({1,2,3,4,5,6},$F$3:$F$835,$B$3:$B$835,$E$3:$E$835,$C$3:$C$835,$A$3:$A$835,$D$3:$D$835)),6,0)</f>
        <v>KA</v>
      </c>
      <c r="V22" s="22"/>
      <c r="W22" s="204"/>
    </row>
    <row r="23" spans="1:23" x14ac:dyDescent="0.35">
      <c r="A23" s="130">
        <v>42450</v>
      </c>
      <c r="B23" s="24" t="s">
        <v>267</v>
      </c>
      <c r="C23" s="24" t="s">
        <v>268</v>
      </c>
      <c r="D23" s="24" t="s">
        <v>246</v>
      </c>
      <c r="E23" s="24">
        <v>4290</v>
      </c>
      <c r="F23" s="24">
        <v>356607</v>
      </c>
      <c r="H23" s="24">
        <v>949375</v>
      </c>
      <c r="I23" s="131" t="e">
        <f t="array" ref="I23">VLOOKUP($H23,CHOOSE({1,2,3,4,5},$F$3:$F$835,$D$3:$D$835,$B$3:$B$835,$C$3:$C$835,$E$3:$E$835),2,0)</f>
        <v>#N/A</v>
      </c>
      <c r="J23" s="131" t="e">
        <f t="array" ref="J23">VLOOKUP($H23,CHOOSE({1,2,3,4,5},$F$3:$F$835,$D$3:$D$835,$B$3:$B$835,$C$3:$C$835,$E$3:$E$835),3,0)</f>
        <v>#N/A</v>
      </c>
      <c r="K23" s="131" t="e">
        <f t="array" ref="K23">VLOOKUP($H23,CHOOSE({1,2,3,4,5},$F$3:$F$835,$D$3:$D$835,$B$3:$B$835,$C$3:$C$835,$E$3:$E$835),4,0)</f>
        <v>#N/A</v>
      </c>
      <c r="L23" s="131" t="e">
        <f t="array" ref="L23">VLOOKUP($H23,CHOOSE({1,2,3,4,5},$F$3:$F$835,$D$3:$D$835,$B$3:$B$835,$C$3:$C$835,$E$3:$E$835),5,0)</f>
        <v>#N/A</v>
      </c>
      <c r="M23" s="134"/>
      <c r="N23" s="24">
        <v>949375</v>
      </c>
      <c r="O23" s="131" t="e">
        <f t="array" ref="O23">HLOOKUP($N23,TRANSPOSE(CHOOSE({1,2,3,4,5,6},$F$3:$F$835,$B$3:$B$835,$E$3:$E$835,$C$3:$C$835,$A$3:$A$835,$D$3:$D$835)),2,0)</f>
        <v>#N/A</v>
      </c>
      <c r="P23" s="131" t="e">
        <f t="array" ref="P23">HLOOKUP($N23,TRANSPOSE(CHOOSE({1,2,3,4,5,6},$F$3:$F$835,$B$3:$B$835,$E$3:$E$835,$C$3:$C$835,$A$3:$A$835,$D$3:$D$835)),3,0)</f>
        <v>#N/A</v>
      </c>
      <c r="Q23" s="131" t="e">
        <f t="array" ref="Q23">HLOOKUP($N23,TRANSPOSE(CHOOSE({1,2,3,4,5,6},$F$3:$F$835,$B$3:$B$835,$E$3:$E$835,$C$3:$C$835,$A$3:$A$835,$D$3:$D$835)),4,0)</f>
        <v>#N/A</v>
      </c>
      <c r="R23" s="131" t="e">
        <f t="array" ref="R23">HLOOKUP($N23,TRANSPOSE(CHOOSE({1,2,3,4,5,6},$F$3:$F$835,$B$3:$B$835,$E$3:$E$835,$C$3:$C$835,$A$3:$A$835,$D$3:$D$835)),1,0)</f>
        <v>#N/A</v>
      </c>
      <c r="S23" s="214" t="e" cm="1">
        <f t="array" ref="S23">HLOOKUP($N23,TRANSPOSE(CHOOSE({1,2,3,4,5,6},$F$3:$F$835,$B$3:$B$835,$E$3:$E$835,$C$3:$C$835,$A$3:$A$835,$D$3:$D$835)),5,0)</f>
        <v>#N/A</v>
      </c>
      <c r="T23" s="131" t="e">
        <f t="array" ref="T23">HLOOKUP($N23,TRANSPOSE(CHOOSE({1,2,3,4,5,6},$F$3:$F$835,$B$3:$B$835,$E$3:$E$835,$C$3:$C$835,$A$3:$A$835,$D$3:$D$835)),6,0)</f>
        <v>#N/A</v>
      </c>
      <c r="V23" s="22"/>
      <c r="W23" s="204"/>
    </row>
    <row r="24" spans="1:23" x14ac:dyDescent="0.35">
      <c r="A24" s="130">
        <v>42451</v>
      </c>
      <c r="B24" s="24" t="s">
        <v>269</v>
      </c>
      <c r="C24" s="24" t="s">
        <v>245</v>
      </c>
      <c r="D24" s="24" t="s">
        <v>246</v>
      </c>
      <c r="E24" s="24">
        <v>1618</v>
      </c>
      <c r="F24" s="24">
        <v>356609</v>
      </c>
      <c r="H24" s="24">
        <v>417306</v>
      </c>
      <c r="I24" s="131" t="e">
        <f t="array" ref="I24">VLOOKUP($H24,CHOOSE({1,2,3,4,5},$F$3:$F$835,$D$3:$D$835,$B$3:$B$835,$C$3:$C$835,$E$3:$E$835),2,0)</f>
        <v>#N/A</v>
      </c>
      <c r="J24" s="131" t="e">
        <f t="array" ref="J24">VLOOKUP($H24,CHOOSE({1,2,3,4,5},$F$3:$F$835,$D$3:$D$835,$B$3:$B$835,$C$3:$C$835,$E$3:$E$835),3,0)</f>
        <v>#N/A</v>
      </c>
      <c r="K24" s="131" t="e">
        <f t="array" ref="K24">VLOOKUP($H24,CHOOSE({1,2,3,4,5},$F$3:$F$835,$D$3:$D$835,$B$3:$B$835,$C$3:$C$835,$E$3:$E$835),4,0)</f>
        <v>#N/A</v>
      </c>
      <c r="L24" s="131" t="e">
        <f t="array" ref="L24">VLOOKUP($H24,CHOOSE({1,2,3,4,5},$F$3:$F$835,$D$3:$D$835,$B$3:$B$835,$C$3:$C$835,$E$3:$E$835),5,0)</f>
        <v>#N/A</v>
      </c>
      <c r="M24" s="134"/>
      <c r="N24" s="24">
        <v>417306</v>
      </c>
      <c r="O24" s="131" t="e">
        <f t="array" ref="O24">HLOOKUP($N24,TRANSPOSE(CHOOSE({1,2,3,4,5,6},$F$3:$F$835,$B$3:$B$835,$E$3:$E$835,$C$3:$C$835,$A$3:$A$835,$D$3:$D$835)),2,0)</f>
        <v>#N/A</v>
      </c>
      <c r="P24" s="131" t="e">
        <f t="array" ref="P24">HLOOKUP($N24,TRANSPOSE(CHOOSE({1,2,3,4,5,6},$F$3:$F$835,$B$3:$B$835,$E$3:$E$835,$C$3:$C$835,$A$3:$A$835,$D$3:$D$835)),3,0)</f>
        <v>#N/A</v>
      </c>
      <c r="Q24" s="131" t="e">
        <f t="array" ref="Q24">HLOOKUP($N24,TRANSPOSE(CHOOSE({1,2,3,4,5,6},$F$3:$F$835,$B$3:$B$835,$E$3:$E$835,$C$3:$C$835,$A$3:$A$835,$D$3:$D$835)),4,0)</f>
        <v>#N/A</v>
      </c>
      <c r="R24" s="131" t="e">
        <f t="array" ref="R24">HLOOKUP($N24,TRANSPOSE(CHOOSE({1,2,3,4,5,6},$F$3:$F$835,$B$3:$B$835,$E$3:$E$835,$C$3:$C$835,$A$3:$A$835,$D$3:$D$835)),1,0)</f>
        <v>#N/A</v>
      </c>
      <c r="S24" s="214" t="e" cm="1">
        <f t="array" ref="S24">HLOOKUP($N24,TRANSPOSE(CHOOSE({1,2,3,4,5,6},$F$3:$F$835,$B$3:$B$835,$E$3:$E$835,$C$3:$C$835,$A$3:$A$835,$D$3:$D$835)),5,0)</f>
        <v>#N/A</v>
      </c>
      <c r="T24" s="131" t="e">
        <f t="array" ref="T24">HLOOKUP($N24,TRANSPOSE(CHOOSE({1,2,3,4,5,6},$F$3:$F$835,$B$3:$B$835,$E$3:$E$835,$C$3:$C$835,$A$3:$A$835,$D$3:$D$835)),6,0)</f>
        <v>#N/A</v>
      </c>
      <c r="V24" s="22"/>
      <c r="W24" s="204"/>
    </row>
    <row r="25" spans="1:23" x14ac:dyDescent="0.35">
      <c r="A25" s="130">
        <v>42452</v>
      </c>
      <c r="B25" s="24" t="s">
        <v>270</v>
      </c>
      <c r="C25" s="24" t="s">
        <v>245</v>
      </c>
      <c r="D25" s="24" t="s">
        <v>246</v>
      </c>
      <c r="E25" s="24">
        <v>1306</v>
      </c>
      <c r="F25" s="24">
        <v>356611</v>
      </c>
      <c r="H25" s="24">
        <v>292320</v>
      </c>
      <c r="I25" s="131" t="e">
        <f t="array" ref="I25">VLOOKUP($H25,CHOOSE({1,2,3,4,5},$F$3:$F$835,$D$3:$D$835,$B$3:$B$835,$C$3:$C$835,$E$3:$E$835),2,0)</f>
        <v>#N/A</v>
      </c>
      <c r="J25" s="131" t="e">
        <f t="array" ref="J25">VLOOKUP($H25,CHOOSE({1,2,3,4,5},$F$3:$F$835,$D$3:$D$835,$B$3:$B$835,$C$3:$C$835,$E$3:$E$835),3,0)</f>
        <v>#N/A</v>
      </c>
      <c r="K25" s="131" t="e">
        <f t="array" ref="K25">VLOOKUP($H25,CHOOSE({1,2,3,4,5},$F$3:$F$835,$D$3:$D$835,$B$3:$B$835,$C$3:$C$835,$E$3:$E$835),4,0)</f>
        <v>#N/A</v>
      </c>
      <c r="L25" s="131" t="e">
        <f t="array" ref="L25">VLOOKUP($H25,CHOOSE({1,2,3,4,5},$F$3:$F$835,$D$3:$D$835,$B$3:$B$835,$C$3:$C$835,$E$3:$E$835),5,0)</f>
        <v>#N/A</v>
      </c>
      <c r="M25" s="134"/>
      <c r="N25" s="24">
        <v>292320</v>
      </c>
      <c r="O25" s="131" t="e">
        <f t="array" ref="O25">HLOOKUP($N25,TRANSPOSE(CHOOSE({1,2,3,4,5,6},$F$3:$F$835,$B$3:$B$835,$E$3:$E$835,$C$3:$C$835,$A$3:$A$835,$D$3:$D$835)),2,0)</f>
        <v>#N/A</v>
      </c>
      <c r="P25" s="131" t="e">
        <f t="array" ref="P25">HLOOKUP($N25,TRANSPOSE(CHOOSE({1,2,3,4,5,6},$F$3:$F$835,$B$3:$B$835,$E$3:$E$835,$C$3:$C$835,$A$3:$A$835,$D$3:$D$835)),3,0)</f>
        <v>#N/A</v>
      </c>
      <c r="Q25" s="131" t="e">
        <f t="array" ref="Q25">HLOOKUP($N25,TRANSPOSE(CHOOSE({1,2,3,4,5,6},$F$3:$F$835,$B$3:$B$835,$E$3:$E$835,$C$3:$C$835,$A$3:$A$835,$D$3:$D$835)),4,0)</f>
        <v>#N/A</v>
      </c>
      <c r="R25" s="131" t="e">
        <f t="array" ref="R25">HLOOKUP($N25,TRANSPOSE(CHOOSE({1,2,3,4,5,6},$F$3:$F$835,$B$3:$B$835,$E$3:$E$835,$C$3:$C$835,$A$3:$A$835,$D$3:$D$835)),1,0)</f>
        <v>#N/A</v>
      </c>
      <c r="S25" s="214" t="e" cm="1">
        <f t="array" ref="S25">HLOOKUP($N25,TRANSPOSE(CHOOSE({1,2,3,4,5,6},$F$3:$F$835,$B$3:$B$835,$E$3:$E$835,$C$3:$C$835,$A$3:$A$835,$D$3:$D$835)),5,0)</f>
        <v>#N/A</v>
      </c>
      <c r="T25" s="131" t="e">
        <f t="array" ref="T25">HLOOKUP($N25,TRANSPOSE(CHOOSE({1,2,3,4,5,6},$F$3:$F$835,$B$3:$B$835,$E$3:$E$835,$C$3:$C$835,$A$3:$A$835,$D$3:$D$835)),6,0)</f>
        <v>#N/A</v>
      </c>
      <c r="V25" s="22"/>
      <c r="W25" s="204"/>
    </row>
    <row r="26" spans="1:23" x14ac:dyDescent="0.35">
      <c r="A26" s="130">
        <v>42453</v>
      </c>
      <c r="B26" s="24" t="s">
        <v>271</v>
      </c>
      <c r="C26" s="24" t="s">
        <v>245</v>
      </c>
      <c r="D26" s="24" t="s">
        <v>246</v>
      </c>
      <c r="E26" s="24">
        <v>3676</v>
      </c>
      <c r="F26" s="24">
        <v>356613</v>
      </c>
      <c r="H26" s="24">
        <v>404554</v>
      </c>
      <c r="I26" s="131" t="e">
        <f t="array" ref="I26">VLOOKUP($H26,CHOOSE({1,2,3,4,5},$F$3:$F$835,$D$3:$D$835,$B$3:$B$835,$C$3:$C$835,$E$3:$E$835),2,0)</f>
        <v>#N/A</v>
      </c>
      <c r="J26" s="131" t="e">
        <f t="array" ref="J26">VLOOKUP($H26,CHOOSE({1,2,3,4,5},$F$3:$F$835,$D$3:$D$835,$B$3:$B$835,$C$3:$C$835,$E$3:$E$835),3,0)</f>
        <v>#N/A</v>
      </c>
      <c r="K26" s="131" t="e">
        <f t="array" ref="K26">VLOOKUP($H26,CHOOSE({1,2,3,4,5},$F$3:$F$835,$D$3:$D$835,$B$3:$B$835,$C$3:$C$835,$E$3:$E$835),4,0)</f>
        <v>#N/A</v>
      </c>
      <c r="L26" s="131" t="e">
        <f t="array" ref="L26">VLOOKUP($H26,CHOOSE({1,2,3,4,5},$F$3:$F$835,$D$3:$D$835,$B$3:$B$835,$C$3:$C$835,$E$3:$E$835),5,0)</f>
        <v>#N/A</v>
      </c>
      <c r="M26" s="134"/>
      <c r="N26" s="24">
        <v>404554</v>
      </c>
      <c r="O26" s="131" t="e">
        <f t="array" ref="O26">HLOOKUP($N26,TRANSPOSE(CHOOSE({1,2,3,4,5,6},$F$3:$F$835,$B$3:$B$835,$E$3:$E$835,$C$3:$C$835,$A$3:$A$835,$D$3:$D$835)),2,0)</f>
        <v>#N/A</v>
      </c>
      <c r="P26" s="131" t="e">
        <f t="array" ref="P26">HLOOKUP($N26,TRANSPOSE(CHOOSE({1,2,3,4,5,6},$F$3:$F$835,$B$3:$B$835,$E$3:$E$835,$C$3:$C$835,$A$3:$A$835,$D$3:$D$835)),3,0)</f>
        <v>#N/A</v>
      </c>
      <c r="Q26" s="131" t="e">
        <f t="array" ref="Q26">HLOOKUP($N26,TRANSPOSE(CHOOSE({1,2,3,4,5,6},$F$3:$F$835,$B$3:$B$835,$E$3:$E$835,$C$3:$C$835,$A$3:$A$835,$D$3:$D$835)),4,0)</f>
        <v>#N/A</v>
      </c>
      <c r="R26" s="131" t="e">
        <f t="array" ref="R26">HLOOKUP($N26,TRANSPOSE(CHOOSE({1,2,3,4,5,6},$F$3:$F$835,$B$3:$B$835,$E$3:$E$835,$C$3:$C$835,$A$3:$A$835,$D$3:$D$835)),1,0)</f>
        <v>#N/A</v>
      </c>
      <c r="S26" s="214" t="e" cm="1">
        <f t="array" ref="S26">HLOOKUP($N26,TRANSPOSE(CHOOSE({1,2,3,4,5,6},$F$3:$F$835,$B$3:$B$835,$E$3:$E$835,$C$3:$C$835,$A$3:$A$835,$D$3:$D$835)),5,0)</f>
        <v>#N/A</v>
      </c>
      <c r="T26" s="131" t="e">
        <f t="array" ref="T26">HLOOKUP($N26,TRANSPOSE(CHOOSE({1,2,3,4,5,6},$F$3:$F$835,$B$3:$B$835,$E$3:$E$835,$C$3:$C$835,$A$3:$A$835,$D$3:$D$835)),6,0)</f>
        <v>#N/A</v>
      </c>
      <c r="V26" s="22"/>
      <c r="W26" s="204"/>
    </row>
    <row r="27" spans="1:23" x14ac:dyDescent="0.35">
      <c r="A27" s="130">
        <v>42454</v>
      </c>
      <c r="B27" s="24" t="s">
        <v>272</v>
      </c>
      <c r="C27" s="24" t="s">
        <v>245</v>
      </c>
      <c r="D27" s="24" t="s">
        <v>246</v>
      </c>
      <c r="E27" s="24">
        <v>1421</v>
      </c>
      <c r="F27" s="24">
        <v>356619</v>
      </c>
      <c r="H27" s="24">
        <v>898314</v>
      </c>
      <c r="I27" s="131" t="e">
        <f t="array" ref="I27">VLOOKUP($H27,CHOOSE({1,2,3,4,5},$F$3:$F$835,$D$3:$D$835,$B$3:$B$835,$C$3:$C$835,$E$3:$E$835),2,0)</f>
        <v>#N/A</v>
      </c>
      <c r="J27" s="131" t="e">
        <f t="array" ref="J27">VLOOKUP($H27,CHOOSE({1,2,3,4,5},$F$3:$F$835,$D$3:$D$835,$B$3:$B$835,$C$3:$C$835,$E$3:$E$835),3,0)</f>
        <v>#N/A</v>
      </c>
      <c r="K27" s="131" t="e">
        <f t="array" ref="K27">VLOOKUP($H27,CHOOSE({1,2,3,4,5},$F$3:$F$835,$D$3:$D$835,$B$3:$B$835,$C$3:$C$835,$E$3:$E$835),4,0)</f>
        <v>#N/A</v>
      </c>
      <c r="L27" s="131" t="e">
        <f t="array" ref="L27">VLOOKUP($H27,CHOOSE({1,2,3,4,5},$F$3:$F$835,$D$3:$D$835,$B$3:$B$835,$C$3:$C$835,$E$3:$E$835),5,0)</f>
        <v>#N/A</v>
      </c>
      <c r="M27" s="134"/>
      <c r="N27" s="24">
        <v>898314</v>
      </c>
      <c r="O27" s="131" t="e">
        <f t="array" ref="O27">HLOOKUP($N27,TRANSPOSE(CHOOSE({1,2,3,4,5,6},$F$3:$F$835,$B$3:$B$835,$E$3:$E$835,$C$3:$C$835,$A$3:$A$835,$D$3:$D$835)),2,0)</f>
        <v>#N/A</v>
      </c>
      <c r="P27" s="131" t="e">
        <f t="array" ref="P27">HLOOKUP($N27,TRANSPOSE(CHOOSE({1,2,3,4,5,6},$F$3:$F$835,$B$3:$B$835,$E$3:$E$835,$C$3:$C$835,$A$3:$A$835,$D$3:$D$835)),3,0)</f>
        <v>#N/A</v>
      </c>
      <c r="Q27" s="131" t="e">
        <f t="array" ref="Q27">HLOOKUP($N27,TRANSPOSE(CHOOSE({1,2,3,4,5,6},$F$3:$F$835,$B$3:$B$835,$E$3:$E$835,$C$3:$C$835,$A$3:$A$835,$D$3:$D$835)),4,0)</f>
        <v>#N/A</v>
      </c>
      <c r="R27" s="131" t="e">
        <f t="array" ref="R27">HLOOKUP($N27,TRANSPOSE(CHOOSE({1,2,3,4,5,6},$F$3:$F$835,$B$3:$B$835,$E$3:$E$835,$C$3:$C$835,$A$3:$A$835,$D$3:$D$835)),1,0)</f>
        <v>#N/A</v>
      </c>
      <c r="S27" s="214" t="e" cm="1">
        <f t="array" ref="S27">HLOOKUP($N27,TRANSPOSE(CHOOSE({1,2,3,4,5,6},$F$3:$F$835,$B$3:$B$835,$E$3:$E$835,$C$3:$C$835,$A$3:$A$835,$D$3:$D$835)),5,0)</f>
        <v>#N/A</v>
      </c>
      <c r="T27" s="131" t="e">
        <f t="array" ref="T27">HLOOKUP($N27,TRANSPOSE(CHOOSE({1,2,3,4,5,6},$F$3:$F$835,$B$3:$B$835,$E$3:$E$835,$C$3:$C$835,$A$3:$A$835,$D$3:$D$835)),6,0)</f>
        <v>#N/A</v>
      </c>
      <c r="V27" s="22"/>
      <c r="W27" s="204"/>
    </row>
    <row r="28" spans="1:23" x14ac:dyDescent="0.35">
      <c r="A28" s="130">
        <v>42455</v>
      </c>
      <c r="B28" s="24" t="s">
        <v>273</v>
      </c>
      <c r="C28" s="24" t="s">
        <v>245</v>
      </c>
      <c r="D28" s="24" t="s">
        <v>246</v>
      </c>
      <c r="E28" s="24">
        <v>4062</v>
      </c>
      <c r="F28" s="24">
        <v>356620</v>
      </c>
      <c r="H28" s="24">
        <v>332702</v>
      </c>
      <c r="I28" s="131" t="str">
        <f t="array" ref="I28">VLOOKUP($H28,CHOOSE({1,2,3,4,5},$F$3:$F$835,$D$3:$D$835,$B$3:$B$835,$C$3:$C$835,$E$3:$E$835),2,0)</f>
        <v>KA</v>
      </c>
      <c r="J28" s="131" t="str">
        <f t="array" ref="J28">VLOOKUP($H28,CHOOSE({1,2,3,4,5},$F$3:$F$835,$D$3:$D$835,$B$3:$B$835,$C$3:$C$835,$E$3:$E$835),3,0)</f>
        <v>Shrut</v>
      </c>
      <c r="K28" s="131" t="str">
        <f t="array" ref="K28">VLOOKUP($H28,CHOOSE({1,2,3,4,5},$F$3:$F$835,$D$3:$D$835,$B$3:$B$835,$C$3:$C$835,$E$3:$E$835),4,0)</f>
        <v>HECC</v>
      </c>
      <c r="L28" s="131">
        <f t="array" ref="L28">VLOOKUP($H28,CHOOSE({1,2,3,4,5},$F$3:$F$835,$D$3:$D$835,$B$3:$B$835,$C$3:$C$835,$E$3:$E$835),5,0)</f>
        <v>3803</v>
      </c>
      <c r="M28" s="134"/>
      <c r="N28" s="24">
        <v>332702</v>
      </c>
      <c r="O28" s="131" t="str">
        <f t="array" ref="O28">HLOOKUP($N28,TRANSPOSE(CHOOSE({1,2,3,4,5,6},$F$3:$F$835,$B$3:$B$835,$E$3:$E$835,$C$3:$C$835,$A$3:$A$835,$D$3:$D$835)),2,0)</f>
        <v>Shrut</v>
      </c>
      <c r="P28" s="131">
        <f t="array" ref="P28">HLOOKUP($N28,TRANSPOSE(CHOOSE({1,2,3,4,5,6},$F$3:$F$835,$B$3:$B$835,$E$3:$E$835,$C$3:$C$835,$A$3:$A$835,$D$3:$D$835)),3,0)</f>
        <v>3803</v>
      </c>
      <c r="Q28" s="131" t="str">
        <f t="array" ref="Q28">HLOOKUP($N28,TRANSPOSE(CHOOSE({1,2,3,4,5,6},$F$3:$F$835,$B$3:$B$835,$E$3:$E$835,$C$3:$C$835,$A$3:$A$835,$D$3:$D$835)),4,0)</f>
        <v>HECC</v>
      </c>
      <c r="R28" s="131">
        <f t="array" ref="R28">HLOOKUP($N28,TRANSPOSE(CHOOSE({1,2,3,4,5,6},$F$3:$F$835,$B$3:$B$835,$E$3:$E$835,$C$3:$C$835,$A$3:$A$835,$D$3:$D$835)),1,0)</f>
        <v>332702</v>
      </c>
      <c r="S28" s="214" cm="1">
        <f t="array" ref="S28">HLOOKUP($N28,TRANSPOSE(CHOOSE({1,2,3,4,5,6},$F$3:$F$835,$B$3:$B$835,$E$3:$E$835,$C$3:$C$835,$A$3:$A$835,$D$3:$D$835)),5,0)</f>
        <v>43144</v>
      </c>
      <c r="T28" s="131" t="str">
        <f t="array" ref="T28">HLOOKUP($N28,TRANSPOSE(CHOOSE({1,2,3,4,5,6},$F$3:$F$835,$B$3:$B$835,$E$3:$E$835,$C$3:$C$835,$A$3:$A$835,$D$3:$D$835)),6,0)</f>
        <v>KA</v>
      </c>
      <c r="V28" s="22"/>
      <c r="W28" s="204"/>
    </row>
    <row r="29" spans="1:23" x14ac:dyDescent="0.35">
      <c r="A29" s="130">
        <v>42456</v>
      </c>
      <c r="B29" s="24" t="s">
        <v>274</v>
      </c>
      <c r="C29" s="24" t="s">
        <v>268</v>
      </c>
      <c r="D29" s="24" t="s">
        <v>246</v>
      </c>
      <c r="E29" s="24">
        <v>3762</v>
      </c>
      <c r="F29" s="24">
        <v>356621</v>
      </c>
      <c r="H29" s="24">
        <v>332703</v>
      </c>
      <c r="I29" s="131" t="str">
        <f t="array" ref="I29">VLOOKUP($H29,CHOOSE({1,2,3,4,5},$F$3:$F$835,$D$3:$D$835,$B$3:$B$835,$C$3:$C$835,$E$3:$E$835),2,0)</f>
        <v>KA</v>
      </c>
      <c r="J29" s="131" t="str">
        <f t="array" ref="J29">VLOOKUP($H29,CHOOSE({1,2,3,4,5},$F$3:$F$835,$D$3:$D$835,$B$3:$B$835,$C$3:$C$835,$E$3:$E$835),3,0)</f>
        <v>Dushyan</v>
      </c>
      <c r="K29" s="131" t="str">
        <f t="array" ref="K29">VLOOKUP($H29,CHOOSE({1,2,3,4,5},$F$3:$F$835,$D$3:$D$835,$B$3:$B$835,$C$3:$C$835,$E$3:$E$835),4,0)</f>
        <v>HECC</v>
      </c>
      <c r="L29" s="131">
        <f t="array" ref="L29">VLOOKUP($H29,CHOOSE({1,2,3,4,5},$F$3:$F$835,$D$3:$D$835,$B$3:$B$835,$C$3:$C$835,$E$3:$E$835),5,0)</f>
        <v>1817</v>
      </c>
      <c r="M29" s="134"/>
      <c r="N29" s="24">
        <v>332703</v>
      </c>
      <c r="O29" s="131" t="str">
        <f t="array" ref="O29">HLOOKUP($N29,TRANSPOSE(CHOOSE({1,2,3,4,5,6},$F$3:$F$835,$B$3:$B$835,$E$3:$E$835,$C$3:$C$835,$A$3:$A$835,$D$3:$D$835)),2,0)</f>
        <v>Dushyan</v>
      </c>
      <c r="P29" s="131">
        <f t="array" ref="P29">HLOOKUP($N29,TRANSPOSE(CHOOSE({1,2,3,4,5,6},$F$3:$F$835,$B$3:$B$835,$E$3:$E$835,$C$3:$C$835,$A$3:$A$835,$D$3:$D$835)),3,0)</f>
        <v>1817</v>
      </c>
      <c r="Q29" s="131" t="str">
        <f t="array" ref="Q29">HLOOKUP($N29,TRANSPOSE(CHOOSE({1,2,3,4,5,6},$F$3:$F$835,$B$3:$B$835,$E$3:$E$835,$C$3:$C$835,$A$3:$A$835,$D$3:$D$835)),4,0)</f>
        <v>HECC</v>
      </c>
      <c r="R29" s="131">
        <f t="array" ref="R29">HLOOKUP($N29,TRANSPOSE(CHOOSE({1,2,3,4,5,6},$F$3:$F$835,$B$3:$B$835,$E$3:$E$835,$C$3:$C$835,$A$3:$A$835,$D$3:$D$835)),1,0)</f>
        <v>332703</v>
      </c>
      <c r="S29" s="214" cm="1">
        <f t="array" ref="S29">HLOOKUP($N29,TRANSPOSE(CHOOSE({1,2,3,4,5,6},$F$3:$F$835,$B$3:$B$835,$E$3:$E$835,$C$3:$C$835,$A$3:$A$835,$D$3:$D$835)),5,0)</f>
        <v>43145</v>
      </c>
      <c r="T29" s="131" t="str">
        <f t="array" ref="T29">HLOOKUP($N29,TRANSPOSE(CHOOSE({1,2,3,4,5,6},$F$3:$F$835,$B$3:$B$835,$E$3:$E$835,$C$3:$C$835,$A$3:$A$835,$D$3:$D$835)),6,0)</f>
        <v>KA</v>
      </c>
      <c r="V29" s="22"/>
      <c r="W29" s="204"/>
    </row>
    <row r="30" spans="1:23" x14ac:dyDescent="0.35">
      <c r="A30" s="130">
        <v>42457</v>
      </c>
      <c r="B30" s="24" t="s">
        <v>275</v>
      </c>
      <c r="C30" s="24" t="s">
        <v>248</v>
      </c>
      <c r="D30" s="24" t="s">
        <v>246</v>
      </c>
      <c r="E30" s="24">
        <v>3878</v>
      </c>
      <c r="F30" s="24">
        <v>344513</v>
      </c>
      <c r="H30" s="24">
        <v>332704</v>
      </c>
      <c r="I30" s="131" t="str">
        <f t="array" ref="I30">VLOOKUP($H30,CHOOSE({1,2,3,4,5},$F$3:$F$835,$D$3:$D$835,$B$3:$B$835,$C$3:$C$835,$E$3:$E$835),2,0)</f>
        <v>KA</v>
      </c>
      <c r="J30" s="131" t="str">
        <f t="array" ref="J30">VLOOKUP($H30,CHOOSE({1,2,3,4,5},$F$3:$F$835,$D$3:$D$835,$B$3:$B$835,$C$3:$C$835,$E$3:$E$835),3,0)</f>
        <v>Dushyan</v>
      </c>
      <c r="K30" s="131" t="str">
        <f t="array" ref="K30">VLOOKUP($H30,CHOOSE({1,2,3,4,5},$F$3:$F$835,$D$3:$D$835,$B$3:$B$835,$C$3:$C$835,$E$3:$E$835),4,0)</f>
        <v>HECC</v>
      </c>
      <c r="L30" s="131">
        <f t="array" ref="L30">VLOOKUP($H30,CHOOSE({1,2,3,4,5},$F$3:$F$835,$D$3:$D$835,$B$3:$B$835,$C$3:$C$835,$E$3:$E$835),5,0)</f>
        <v>3357</v>
      </c>
      <c r="M30" s="134"/>
      <c r="N30" s="24">
        <v>332704</v>
      </c>
      <c r="O30" s="131" t="str">
        <f t="array" ref="O30">HLOOKUP($N30,TRANSPOSE(CHOOSE({1,2,3,4,5,6},$F$3:$F$835,$B$3:$B$835,$E$3:$E$835,$C$3:$C$835,$A$3:$A$835,$D$3:$D$835)),2,0)</f>
        <v>Dushyan</v>
      </c>
      <c r="P30" s="131">
        <f t="array" ref="P30">HLOOKUP($N30,TRANSPOSE(CHOOSE({1,2,3,4,5,6},$F$3:$F$835,$B$3:$B$835,$E$3:$E$835,$C$3:$C$835,$A$3:$A$835,$D$3:$D$835)),3,0)</f>
        <v>3357</v>
      </c>
      <c r="Q30" s="131" t="str">
        <f t="array" ref="Q30">HLOOKUP($N30,TRANSPOSE(CHOOSE({1,2,3,4,5,6},$F$3:$F$835,$B$3:$B$835,$E$3:$E$835,$C$3:$C$835,$A$3:$A$835,$D$3:$D$835)),4,0)</f>
        <v>HECC</v>
      </c>
      <c r="R30" s="131">
        <f t="array" ref="R30">HLOOKUP($N30,TRANSPOSE(CHOOSE({1,2,3,4,5,6},$F$3:$F$835,$B$3:$B$835,$E$3:$E$835,$C$3:$C$835,$A$3:$A$835,$D$3:$D$835)),1,0)</f>
        <v>332704</v>
      </c>
      <c r="S30" s="214" cm="1">
        <f t="array" ref="S30">HLOOKUP($N30,TRANSPOSE(CHOOSE({1,2,3,4,5,6},$F$3:$F$835,$B$3:$B$835,$E$3:$E$835,$C$3:$C$835,$A$3:$A$835,$D$3:$D$835)),5,0)</f>
        <v>43146</v>
      </c>
      <c r="T30" s="131" t="str">
        <f t="array" ref="T30">HLOOKUP($N30,TRANSPOSE(CHOOSE({1,2,3,4,5,6},$F$3:$F$835,$B$3:$B$835,$E$3:$E$835,$C$3:$C$835,$A$3:$A$835,$D$3:$D$835)),6,0)</f>
        <v>KA</v>
      </c>
      <c r="V30" s="22"/>
      <c r="W30" s="204"/>
    </row>
    <row r="31" spans="1:23" x14ac:dyDescent="0.35">
      <c r="A31" s="130">
        <v>42458</v>
      </c>
      <c r="B31" s="24" t="s">
        <v>276</v>
      </c>
      <c r="C31" s="24" t="s">
        <v>268</v>
      </c>
      <c r="D31" s="24" t="s">
        <v>246</v>
      </c>
      <c r="E31" s="24">
        <v>3102</v>
      </c>
      <c r="F31" s="24">
        <v>344533</v>
      </c>
      <c r="H31" s="24">
        <v>332705</v>
      </c>
      <c r="I31" s="131" t="str">
        <f t="array" ref="I31">VLOOKUP($H31,CHOOSE({1,2,3,4,5},$F$3:$F$835,$D$3:$D$835,$B$3:$B$835,$C$3:$C$835,$E$3:$E$835),2,0)</f>
        <v>KA</v>
      </c>
      <c r="J31" s="131" t="str">
        <f t="array" ref="J31">VLOOKUP($H31,CHOOSE({1,2,3,4,5},$F$3:$F$835,$D$3:$D$835,$B$3:$B$835,$C$3:$C$835,$E$3:$E$835),3,0)</f>
        <v>Amzad K</v>
      </c>
      <c r="K31" s="131" t="str">
        <f t="array" ref="K31">VLOOKUP($H31,CHOOSE({1,2,3,4,5},$F$3:$F$835,$D$3:$D$835,$B$3:$B$835,$C$3:$C$835,$E$3:$E$835),4,0)</f>
        <v>HECC</v>
      </c>
      <c r="L31" s="131">
        <f t="array" ref="L31">VLOOKUP($H31,CHOOSE({1,2,3,4,5},$F$3:$F$835,$D$3:$D$835,$B$3:$B$835,$C$3:$C$835,$E$3:$E$835),5,0)</f>
        <v>3140</v>
      </c>
      <c r="M31" s="134"/>
      <c r="N31" s="24">
        <v>332705</v>
      </c>
      <c r="O31" s="131" t="str">
        <f t="array" ref="O31">HLOOKUP($N31,TRANSPOSE(CHOOSE({1,2,3,4,5,6},$F$3:$F$835,$B$3:$B$835,$E$3:$E$835,$C$3:$C$835,$A$3:$A$835,$D$3:$D$835)),2,0)</f>
        <v>Amzad K</v>
      </c>
      <c r="P31" s="131">
        <f t="array" ref="P31">HLOOKUP($N31,TRANSPOSE(CHOOSE({1,2,3,4,5,6},$F$3:$F$835,$B$3:$B$835,$E$3:$E$835,$C$3:$C$835,$A$3:$A$835,$D$3:$D$835)),3,0)</f>
        <v>3140</v>
      </c>
      <c r="Q31" s="131" t="str">
        <f t="array" ref="Q31">HLOOKUP($N31,TRANSPOSE(CHOOSE({1,2,3,4,5,6},$F$3:$F$835,$B$3:$B$835,$E$3:$E$835,$C$3:$C$835,$A$3:$A$835,$D$3:$D$835)),4,0)</f>
        <v>HECC</v>
      </c>
      <c r="R31" s="131">
        <f t="array" ref="R31">HLOOKUP($N31,TRANSPOSE(CHOOSE({1,2,3,4,5,6},$F$3:$F$835,$B$3:$B$835,$E$3:$E$835,$C$3:$C$835,$A$3:$A$835,$D$3:$D$835)),1,0)</f>
        <v>332705</v>
      </c>
      <c r="S31" s="214" cm="1">
        <f t="array" ref="S31">HLOOKUP($N31,TRANSPOSE(CHOOSE({1,2,3,4,5,6},$F$3:$F$835,$B$3:$B$835,$E$3:$E$835,$C$3:$C$835,$A$3:$A$835,$D$3:$D$835)),5,0)</f>
        <v>43147</v>
      </c>
      <c r="T31" s="131" t="str">
        <f t="array" ref="T31">HLOOKUP($N31,TRANSPOSE(CHOOSE({1,2,3,4,5,6},$F$3:$F$835,$B$3:$B$835,$E$3:$E$835,$C$3:$C$835,$A$3:$A$835,$D$3:$D$835)),6,0)</f>
        <v>KA</v>
      </c>
      <c r="V31" s="22"/>
      <c r="W31" s="204"/>
    </row>
    <row r="32" spans="1:23" x14ac:dyDescent="0.35">
      <c r="A32" s="130">
        <v>42459</v>
      </c>
      <c r="B32" s="24" t="s">
        <v>277</v>
      </c>
      <c r="C32" s="24" t="s">
        <v>245</v>
      </c>
      <c r="D32" s="24" t="s">
        <v>246</v>
      </c>
      <c r="E32" s="24">
        <v>3287</v>
      </c>
      <c r="F32" s="24">
        <v>344535</v>
      </c>
      <c r="H32" s="24">
        <v>332709</v>
      </c>
      <c r="I32" s="131" t="str">
        <f t="array" ref="I32">VLOOKUP($H32,CHOOSE({1,2,3,4,5},$F$3:$F$835,$D$3:$D$835,$B$3:$B$835,$C$3:$C$835,$E$3:$E$835),2,0)</f>
        <v>KA</v>
      </c>
      <c r="J32" s="131" t="str">
        <f t="array" ref="J32">VLOOKUP($H32,CHOOSE({1,2,3,4,5},$F$3:$F$835,$D$3:$D$835,$B$3:$B$835,$C$3:$C$835,$E$3:$E$835),3,0)</f>
        <v>Taha Am</v>
      </c>
      <c r="K32" s="131" t="str">
        <f t="array" ref="K32">VLOOKUP($H32,CHOOSE({1,2,3,4,5},$F$3:$F$835,$D$3:$D$835,$B$3:$B$835,$C$3:$C$835,$E$3:$E$835),4,0)</f>
        <v>HECC</v>
      </c>
      <c r="L32" s="131">
        <f t="array" ref="L32">VLOOKUP($H32,CHOOSE({1,2,3,4,5},$F$3:$F$835,$D$3:$D$835,$B$3:$B$835,$C$3:$C$835,$E$3:$E$835),5,0)</f>
        <v>3360</v>
      </c>
      <c r="M32" s="134"/>
      <c r="N32" s="24">
        <v>332709</v>
      </c>
      <c r="O32" s="131" t="str">
        <f t="array" ref="O32">HLOOKUP($N32,TRANSPOSE(CHOOSE({1,2,3,4,5,6},$F$3:$F$835,$B$3:$B$835,$E$3:$E$835,$C$3:$C$835,$A$3:$A$835,$D$3:$D$835)),2,0)</f>
        <v>Taha Am</v>
      </c>
      <c r="P32" s="131">
        <f t="array" ref="P32">HLOOKUP($N32,TRANSPOSE(CHOOSE({1,2,3,4,5,6},$F$3:$F$835,$B$3:$B$835,$E$3:$E$835,$C$3:$C$835,$A$3:$A$835,$D$3:$D$835)),3,0)</f>
        <v>3360</v>
      </c>
      <c r="Q32" s="131" t="str">
        <f t="array" ref="Q32">HLOOKUP($N32,TRANSPOSE(CHOOSE({1,2,3,4,5,6},$F$3:$F$835,$B$3:$B$835,$E$3:$E$835,$C$3:$C$835,$A$3:$A$835,$D$3:$D$835)),4,0)</f>
        <v>HECC</v>
      </c>
      <c r="R32" s="131">
        <f t="array" ref="R32">HLOOKUP($N32,TRANSPOSE(CHOOSE({1,2,3,4,5,6},$F$3:$F$835,$B$3:$B$835,$E$3:$E$835,$C$3:$C$835,$A$3:$A$835,$D$3:$D$835)),1,0)</f>
        <v>332709</v>
      </c>
      <c r="S32" s="214" cm="1">
        <f t="array" ref="S32">HLOOKUP($N32,TRANSPOSE(CHOOSE({1,2,3,4,5,6},$F$3:$F$835,$B$3:$B$835,$E$3:$E$835,$C$3:$C$835,$A$3:$A$835,$D$3:$D$835)),5,0)</f>
        <v>43148</v>
      </c>
      <c r="T32" s="131" t="str">
        <f t="array" ref="T32">HLOOKUP($N32,TRANSPOSE(CHOOSE({1,2,3,4,5,6},$F$3:$F$835,$B$3:$B$835,$E$3:$E$835,$C$3:$C$835,$A$3:$A$835,$D$3:$D$835)),6,0)</f>
        <v>KA</v>
      </c>
      <c r="V32" s="22"/>
      <c r="W32" s="204"/>
    </row>
    <row r="33" spans="1:23" x14ac:dyDescent="0.35">
      <c r="A33" s="130">
        <v>42460</v>
      </c>
      <c r="B33" s="24" t="s">
        <v>278</v>
      </c>
      <c r="C33" s="24" t="s">
        <v>245</v>
      </c>
      <c r="D33" s="24" t="s">
        <v>246</v>
      </c>
      <c r="E33" s="24">
        <v>1023</v>
      </c>
      <c r="F33" s="24">
        <v>344550</v>
      </c>
      <c r="H33" s="24">
        <v>809551</v>
      </c>
      <c r="I33" s="131" t="e">
        <f t="array" ref="I33">VLOOKUP($H33,CHOOSE({1,2,3,4,5},$F$3:$F$835,$D$3:$D$835,$B$3:$B$835,$C$3:$C$835,$E$3:$E$835),2,0)</f>
        <v>#N/A</v>
      </c>
      <c r="J33" s="131" t="e">
        <f t="array" ref="J33">VLOOKUP($H33,CHOOSE({1,2,3,4,5},$F$3:$F$835,$D$3:$D$835,$B$3:$B$835,$C$3:$C$835,$E$3:$E$835),3,0)</f>
        <v>#N/A</v>
      </c>
      <c r="K33" s="131" t="e">
        <f t="array" ref="K33">VLOOKUP($H33,CHOOSE({1,2,3,4,5},$F$3:$F$835,$D$3:$D$835,$B$3:$B$835,$C$3:$C$835,$E$3:$E$835),4,0)</f>
        <v>#N/A</v>
      </c>
      <c r="L33" s="131" t="e">
        <f t="array" ref="L33">VLOOKUP($H33,CHOOSE({1,2,3,4,5},$F$3:$F$835,$D$3:$D$835,$B$3:$B$835,$C$3:$C$835,$E$3:$E$835),5,0)</f>
        <v>#N/A</v>
      </c>
      <c r="M33" s="134"/>
      <c r="N33" s="24">
        <v>809551</v>
      </c>
      <c r="O33" s="131" t="e">
        <f t="array" ref="O33">HLOOKUP($N33,TRANSPOSE(CHOOSE({1,2,3,4,5,6},$F$3:$F$835,$B$3:$B$835,$E$3:$E$835,$C$3:$C$835,$A$3:$A$835,$D$3:$D$835)),2,0)</f>
        <v>#N/A</v>
      </c>
      <c r="P33" s="131" t="e">
        <f t="array" ref="P33">HLOOKUP($N33,TRANSPOSE(CHOOSE({1,2,3,4,5,6},$F$3:$F$835,$B$3:$B$835,$E$3:$E$835,$C$3:$C$835,$A$3:$A$835,$D$3:$D$835)),3,0)</f>
        <v>#N/A</v>
      </c>
      <c r="Q33" s="131" t="e">
        <f t="array" ref="Q33">HLOOKUP($N33,TRANSPOSE(CHOOSE({1,2,3,4,5,6},$F$3:$F$835,$B$3:$B$835,$E$3:$E$835,$C$3:$C$835,$A$3:$A$835,$D$3:$D$835)),4,0)</f>
        <v>#N/A</v>
      </c>
      <c r="R33" s="131" t="e">
        <f t="array" ref="R33">HLOOKUP($N33,TRANSPOSE(CHOOSE({1,2,3,4,5,6},$F$3:$F$835,$B$3:$B$835,$E$3:$E$835,$C$3:$C$835,$A$3:$A$835,$D$3:$D$835)),1,0)</f>
        <v>#N/A</v>
      </c>
      <c r="S33" s="214" t="e" cm="1">
        <f t="array" ref="S33">HLOOKUP($N33,TRANSPOSE(CHOOSE({1,2,3,4,5,6},$F$3:$F$835,$B$3:$B$835,$E$3:$E$835,$C$3:$C$835,$A$3:$A$835,$D$3:$D$835)),5,0)</f>
        <v>#N/A</v>
      </c>
      <c r="T33" s="131" t="e">
        <f t="array" ref="T33">HLOOKUP($N33,TRANSPOSE(CHOOSE({1,2,3,4,5,6},$F$3:$F$835,$B$3:$B$835,$E$3:$E$835,$C$3:$C$835,$A$3:$A$835,$D$3:$D$835)),6,0)</f>
        <v>#N/A</v>
      </c>
      <c r="V33" s="22"/>
      <c r="W33" s="204"/>
    </row>
    <row r="34" spans="1:23" x14ac:dyDescent="0.35">
      <c r="A34" s="130">
        <v>42461</v>
      </c>
      <c r="B34" s="24" t="s">
        <v>279</v>
      </c>
      <c r="C34" s="24" t="s">
        <v>245</v>
      </c>
      <c r="D34" s="24" t="s">
        <v>246</v>
      </c>
      <c r="E34" s="24">
        <v>3784</v>
      </c>
      <c r="F34" s="24">
        <v>344569</v>
      </c>
      <c r="H34" s="24">
        <v>252434</v>
      </c>
      <c r="I34" s="131" t="e">
        <f t="array" ref="I34">VLOOKUP($H34,CHOOSE({1,2,3,4,5},$F$3:$F$835,$D$3:$D$835,$B$3:$B$835,$C$3:$C$835,$E$3:$E$835),2,0)</f>
        <v>#N/A</v>
      </c>
      <c r="J34" s="131" t="e">
        <f t="array" ref="J34">VLOOKUP($H34,CHOOSE({1,2,3,4,5},$F$3:$F$835,$D$3:$D$835,$B$3:$B$835,$C$3:$C$835,$E$3:$E$835),3,0)</f>
        <v>#N/A</v>
      </c>
      <c r="K34" s="131" t="e">
        <f t="array" ref="K34">VLOOKUP($H34,CHOOSE({1,2,3,4,5},$F$3:$F$835,$D$3:$D$835,$B$3:$B$835,$C$3:$C$835,$E$3:$E$835),4,0)</f>
        <v>#N/A</v>
      </c>
      <c r="L34" s="131" t="e">
        <f t="array" ref="L34">VLOOKUP($H34,CHOOSE({1,2,3,4,5},$F$3:$F$835,$D$3:$D$835,$B$3:$B$835,$C$3:$C$835,$E$3:$E$835),5,0)</f>
        <v>#N/A</v>
      </c>
      <c r="M34" s="134"/>
      <c r="N34" s="24">
        <v>252434</v>
      </c>
      <c r="O34" s="131" t="e">
        <f t="array" ref="O34">HLOOKUP($N34,TRANSPOSE(CHOOSE({1,2,3,4,5,6},$F$3:$F$835,$B$3:$B$835,$E$3:$E$835,$C$3:$C$835,$A$3:$A$835,$D$3:$D$835)),2,0)</f>
        <v>#N/A</v>
      </c>
      <c r="P34" s="131" t="e">
        <f t="array" ref="P34">HLOOKUP($N34,TRANSPOSE(CHOOSE({1,2,3,4,5,6},$F$3:$F$835,$B$3:$B$835,$E$3:$E$835,$C$3:$C$835,$A$3:$A$835,$D$3:$D$835)),3,0)</f>
        <v>#N/A</v>
      </c>
      <c r="Q34" s="131" t="e">
        <f t="array" ref="Q34">HLOOKUP($N34,TRANSPOSE(CHOOSE({1,2,3,4,5,6},$F$3:$F$835,$B$3:$B$835,$E$3:$E$835,$C$3:$C$835,$A$3:$A$835,$D$3:$D$835)),4,0)</f>
        <v>#N/A</v>
      </c>
      <c r="R34" s="131" t="e">
        <f t="array" ref="R34">HLOOKUP($N34,TRANSPOSE(CHOOSE({1,2,3,4,5,6},$F$3:$F$835,$B$3:$B$835,$E$3:$E$835,$C$3:$C$835,$A$3:$A$835,$D$3:$D$835)),1,0)</f>
        <v>#N/A</v>
      </c>
      <c r="S34" s="214" t="e" cm="1">
        <f t="array" ref="S34">HLOOKUP($N34,TRANSPOSE(CHOOSE({1,2,3,4,5,6},$F$3:$F$835,$B$3:$B$835,$E$3:$E$835,$C$3:$C$835,$A$3:$A$835,$D$3:$D$835)),5,0)</f>
        <v>#N/A</v>
      </c>
      <c r="T34" s="131" t="e">
        <f t="array" ref="T34">HLOOKUP($N34,TRANSPOSE(CHOOSE({1,2,3,4,5,6},$F$3:$F$835,$B$3:$B$835,$E$3:$E$835,$C$3:$C$835,$A$3:$A$835,$D$3:$D$835)),6,0)</f>
        <v>#N/A</v>
      </c>
      <c r="V34" s="22"/>
      <c r="W34" s="204"/>
    </row>
    <row r="35" spans="1:23" x14ac:dyDescent="0.35">
      <c r="A35" s="130">
        <v>42462</v>
      </c>
      <c r="B35" s="24" t="s">
        <v>280</v>
      </c>
      <c r="C35" s="24" t="s">
        <v>248</v>
      </c>
      <c r="D35" s="24" t="s">
        <v>281</v>
      </c>
      <c r="E35" s="24">
        <v>4573</v>
      </c>
      <c r="F35" s="24">
        <v>344580</v>
      </c>
      <c r="H35" s="24">
        <v>332710</v>
      </c>
      <c r="I35" s="131" t="str">
        <f t="array" ref="I35">VLOOKUP($H35,CHOOSE({1,2,3,4,5},$F$3:$F$835,$D$3:$D$835,$B$3:$B$835,$C$3:$C$835,$E$3:$E$835),2,0)</f>
        <v>KA</v>
      </c>
      <c r="J35" s="131" t="str">
        <f t="array" ref="J35">VLOOKUP($H35,CHOOSE({1,2,3,4,5},$F$3:$F$835,$D$3:$D$835,$B$3:$B$835,$C$3:$C$835,$E$3:$E$835),3,0)</f>
        <v>Taha Am</v>
      </c>
      <c r="K35" s="131" t="str">
        <f t="array" ref="K35">VLOOKUP($H35,CHOOSE({1,2,3,4,5},$F$3:$F$835,$D$3:$D$835,$B$3:$B$835,$C$3:$C$835,$E$3:$E$835),4,0)</f>
        <v>HECC</v>
      </c>
      <c r="L35" s="131">
        <f t="array" ref="L35">VLOOKUP($H35,CHOOSE({1,2,3,4,5},$F$3:$F$835,$D$3:$D$835,$B$3:$B$835,$C$3:$C$835,$E$3:$E$835),5,0)</f>
        <v>4665</v>
      </c>
      <c r="M35" s="134"/>
      <c r="N35" s="24">
        <v>332710</v>
      </c>
      <c r="O35" s="131" t="str">
        <f t="array" ref="O35">HLOOKUP($N35,TRANSPOSE(CHOOSE({1,2,3,4,5,6},$F$3:$F$835,$B$3:$B$835,$E$3:$E$835,$C$3:$C$835,$A$3:$A$835,$D$3:$D$835)),2,0)</f>
        <v>Taha Am</v>
      </c>
      <c r="P35" s="131">
        <f t="array" ref="P35">HLOOKUP($N35,TRANSPOSE(CHOOSE({1,2,3,4,5,6},$F$3:$F$835,$B$3:$B$835,$E$3:$E$835,$C$3:$C$835,$A$3:$A$835,$D$3:$D$835)),3,0)</f>
        <v>4665</v>
      </c>
      <c r="Q35" s="131" t="str">
        <f t="array" ref="Q35">HLOOKUP($N35,TRANSPOSE(CHOOSE({1,2,3,4,5,6},$F$3:$F$835,$B$3:$B$835,$E$3:$E$835,$C$3:$C$835,$A$3:$A$835,$D$3:$D$835)),4,0)</f>
        <v>HECC</v>
      </c>
      <c r="R35" s="131">
        <f t="array" ref="R35">HLOOKUP($N35,TRANSPOSE(CHOOSE({1,2,3,4,5,6},$F$3:$F$835,$B$3:$B$835,$E$3:$E$835,$C$3:$C$835,$A$3:$A$835,$D$3:$D$835)),1,0)</f>
        <v>332710</v>
      </c>
      <c r="S35" s="214" cm="1">
        <f t="array" ref="S35">HLOOKUP($N35,TRANSPOSE(CHOOSE({1,2,3,4,5,6},$F$3:$F$835,$B$3:$B$835,$E$3:$E$835,$C$3:$C$835,$A$3:$A$835,$D$3:$D$835)),5,0)</f>
        <v>43149</v>
      </c>
      <c r="T35" s="131" t="str">
        <f t="array" ref="T35">HLOOKUP($N35,TRANSPOSE(CHOOSE({1,2,3,4,5,6},$F$3:$F$835,$B$3:$B$835,$E$3:$E$835,$C$3:$C$835,$A$3:$A$835,$D$3:$D$835)),6,0)</f>
        <v>KA</v>
      </c>
      <c r="V35" s="22"/>
      <c r="W35" s="204"/>
    </row>
    <row r="36" spans="1:23" x14ac:dyDescent="0.35">
      <c r="A36" s="130">
        <v>42463</v>
      </c>
      <c r="B36" s="24" t="s">
        <v>282</v>
      </c>
      <c r="C36" s="24" t="s">
        <v>245</v>
      </c>
      <c r="D36" s="24" t="s">
        <v>281</v>
      </c>
      <c r="E36" s="24">
        <v>4882</v>
      </c>
      <c r="F36" s="24">
        <v>344581</v>
      </c>
      <c r="H36" s="24">
        <v>332714</v>
      </c>
      <c r="I36" s="131" t="str">
        <f t="array" ref="I36">VLOOKUP($H36,CHOOSE({1,2,3,4,5},$F$3:$F$835,$D$3:$D$835,$B$3:$B$835,$C$3:$C$835,$E$3:$E$835),2,0)</f>
        <v>KA</v>
      </c>
      <c r="J36" s="131" t="str">
        <f t="array" ref="J36">VLOOKUP($H36,CHOOSE({1,2,3,4,5},$F$3:$F$835,$D$3:$D$835,$B$3:$B$835,$C$3:$C$835,$E$3:$E$835),3,0)</f>
        <v>Ruman A</v>
      </c>
      <c r="K36" s="131" t="str">
        <f t="array" ref="K36">VLOOKUP($H36,CHOOSE({1,2,3,4,5},$F$3:$F$835,$D$3:$D$835,$B$3:$B$835,$C$3:$C$835,$E$3:$E$835),4,0)</f>
        <v>HECC</v>
      </c>
      <c r="L36" s="131">
        <f t="array" ref="L36">VLOOKUP($H36,CHOOSE({1,2,3,4,5},$F$3:$F$835,$D$3:$D$835,$B$3:$B$835,$C$3:$C$835,$E$3:$E$835),5,0)</f>
        <v>3490</v>
      </c>
      <c r="M36" s="134"/>
      <c r="N36" s="24">
        <v>332714</v>
      </c>
      <c r="O36" s="131" t="str">
        <f t="array" ref="O36">HLOOKUP($N36,TRANSPOSE(CHOOSE({1,2,3,4,5,6},$F$3:$F$835,$B$3:$B$835,$E$3:$E$835,$C$3:$C$835,$A$3:$A$835,$D$3:$D$835)),2,0)</f>
        <v>Ruman A</v>
      </c>
      <c r="P36" s="131">
        <f t="array" ref="P36">HLOOKUP($N36,TRANSPOSE(CHOOSE({1,2,3,4,5,6},$F$3:$F$835,$B$3:$B$835,$E$3:$E$835,$C$3:$C$835,$A$3:$A$835,$D$3:$D$835)),3,0)</f>
        <v>3490</v>
      </c>
      <c r="Q36" s="131" t="str">
        <f t="array" ref="Q36">HLOOKUP($N36,TRANSPOSE(CHOOSE({1,2,3,4,5,6},$F$3:$F$835,$B$3:$B$835,$E$3:$E$835,$C$3:$C$835,$A$3:$A$835,$D$3:$D$835)),4,0)</f>
        <v>HECC</v>
      </c>
      <c r="R36" s="131">
        <f t="array" ref="R36">HLOOKUP($N36,TRANSPOSE(CHOOSE({1,2,3,4,5,6},$F$3:$F$835,$B$3:$B$835,$E$3:$E$835,$C$3:$C$835,$A$3:$A$835,$D$3:$D$835)),1,0)</f>
        <v>332714</v>
      </c>
      <c r="S36" s="214" cm="1">
        <f t="array" ref="S36">HLOOKUP($N36,TRANSPOSE(CHOOSE({1,2,3,4,5,6},$F$3:$F$835,$B$3:$B$835,$E$3:$E$835,$C$3:$C$835,$A$3:$A$835,$D$3:$D$835)),5,0)</f>
        <v>43150</v>
      </c>
      <c r="T36" s="131" t="str">
        <f t="array" ref="T36">HLOOKUP($N36,TRANSPOSE(CHOOSE({1,2,3,4,5,6},$F$3:$F$835,$B$3:$B$835,$E$3:$E$835,$C$3:$C$835,$A$3:$A$835,$D$3:$D$835)),6,0)</f>
        <v>KA</v>
      </c>
      <c r="V36" s="22"/>
      <c r="W36" s="204"/>
    </row>
    <row r="37" spans="1:23" x14ac:dyDescent="0.35">
      <c r="A37" s="130">
        <v>42464</v>
      </c>
      <c r="B37" s="24" t="s">
        <v>283</v>
      </c>
      <c r="C37" s="24" t="s">
        <v>245</v>
      </c>
      <c r="D37" s="24" t="s">
        <v>281</v>
      </c>
      <c r="E37" s="24">
        <v>1925</v>
      </c>
      <c r="F37" s="24">
        <v>344591</v>
      </c>
      <c r="H37" s="24">
        <v>332720</v>
      </c>
      <c r="I37" s="131" t="str">
        <f t="array" ref="I37">VLOOKUP($H37,CHOOSE({1,2,3,4,5},$F$3:$F$835,$D$3:$D$835,$B$3:$B$835,$C$3:$C$835,$E$3:$E$835),2,0)</f>
        <v>KA</v>
      </c>
      <c r="J37" s="131" t="str">
        <f t="array" ref="J37">VLOOKUP($H37,CHOOSE({1,2,3,4,5},$F$3:$F$835,$D$3:$D$835,$B$3:$B$835,$C$3:$C$835,$E$3:$E$835),3,0)</f>
        <v>Ruman A</v>
      </c>
      <c r="K37" s="131" t="str">
        <f t="array" ref="K37">VLOOKUP($H37,CHOOSE({1,2,3,4,5},$F$3:$F$835,$D$3:$D$835,$B$3:$B$835,$C$3:$C$835,$E$3:$E$835),4,0)</f>
        <v>HECC</v>
      </c>
      <c r="L37" s="131">
        <f t="array" ref="L37">VLOOKUP($H37,CHOOSE({1,2,3,4,5},$F$3:$F$835,$D$3:$D$835,$B$3:$B$835,$C$3:$C$835,$E$3:$E$835),5,0)</f>
        <v>2237</v>
      </c>
      <c r="M37" s="134"/>
      <c r="N37" s="24">
        <v>332720</v>
      </c>
      <c r="O37" s="131" t="str">
        <f t="array" ref="O37">HLOOKUP($N37,TRANSPOSE(CHOOSE({1,2,3,4,5,6},$F$3:$F$835,$B$3:$B$835,$E$3:$E$835,$C$3:$C$835,$A$3:$A$835,$D$3:$D$835)),2,0)</f>
        <v>Ruman A</v>
      </c>
      <c r="P37" s="131">
        <f t="array" ref="P37">HLOOKUP($N37,TRANSPOSE(CHOOSE({1,2,3,4,5,6},$F$3:$F$835,$B$3:$B$835,$E$3:$E$835,$C$3:$C$835,$A$3:$A$835,$D$3:$D$835)),3,0)</f>
        <v>2237</v>
      </c>
      <c r="Q37" s="131" t="str">
        <f t="array" ref="Q37">HLOOKUP($N37,TRANSPOSE(CHOOSE({1,2,3,4,5,6},$F$3:$F$835,$B$3:$B$835,$E$3:$E$835,$C$3:$C$835,$A$3:$A$835,$D$3:$D$835)),4,0)</f>
        <v>HECC</v>
      </c>
      <c r="R37" s="131">
        <f t="array" ref="R37">HLOOKUP($N37,TRANSPOSE(CHOOSE({1,2,3,4,5,6},$F$3:$F$835,$B$3:$B$835,$E$3:$E$835,$C$3:$C$835,$A$3:$A$835,$D$3:$D$835)),1,0)</f>
        <v>332720</v>
      </c>
      <c r="S37" s="214" cm="1">
        <f t="array" ref="S37">HLOOKUP($N37,TRANSPOSE(CHOOSE({1,2,3,4,5,6},$F$3:$F$835,$B$3:$B$835,$E$3:$E$835,$C$3:$C$835,$A$3:$A$835,$D$3:$D$835)),5,0)</f>
        <v>43151</v>
      </c>
      <c r="T37" s="131" t="str">
        <f t="array" ref="T37">HLOOKUP($N37,TRANSPOSE(CHOOSE({1,2,3,4,5,6},$F$3:$F$835,$B$3:$B$835,$E$3:$E$835,$C$3:$C$835,$A$3:$A$835,$D$3:$D$835)),6,0)</f>
        <v>KA</v>
      </c>
      <c r="V37" s="22"/>
      <c r="W37" s="204"/>
    </row>
    <row r="38" spans="1:23" x14ac:dyDescent="0.35">
      <c r="A38" s="130">
        <v>42465</v>
      </c>
      <c r="B38" s="24" t="s">
        <v>284</v>
      </c>
      <c r="C38" s="24" t="s">
        <v>245</v>
      </c>
      <c r="D38" s="24" t="s">
        <v>281</v>
      </c>
      <c r="E38" s="24">
        <v>1102</v>
      </c>
      <c r="F38" s="24">
        <v>344594</v>
      </c>
      <c r="H38" s="24">
        <v>332726</v>
      </c>
      <c r="I38" s="131" t="str">
        <f t="array" ref="I38">VLOOKUP($H38,CHOOSE({1,2,3,4,5},$F$3:$F$835,$D$3:$D$835,$B$3:$B$835,$C$3:$C$835,$E$3:$E$835),2,0)</f>
        <v>KA</v>
      </c>
      <c r="J38" s="131" t="str">
        <f t="array" ref="J38">VLOOKUP($H38,CHOOSE({1,2,3,4,5},$F$3:$F$835,$D$3:$D$835,$B$3:$B$835,$C$3:$C$835,$E$3:$E$835),3,0)</f>
        <v>Hashim</v>
      </c>
      <c r="K38" s="131" t="str">
        <f t="array" ref="K38">VLOOKUP($H38,CHOOSE({1,2,3,4,5},$F$3:$F$835,$D$3:$D$835,$B$3:$B$835,$C$3:$C$835,$E$3:$E$835),4,0)</f>
        <v>HECC</v>
      </c>
      <c r="L38" s="131">
        <f t="array" ref="L38">VLOOKUP($H38,CHOOSE({1,2,3,4,5},$F$3:$F$835,$D$3:$D$835,$B$3:$B$835,$C$3:$C$835,$E$3:$E$835),5,0)</f>
        <v>3843</v>
      </c>
      <c r="M38" s="134"/>
      <c r="N38" s="24">
        <v>332726</v>
      </c>
      <c r="O38" s="131" t="str">
        <f t="array" ref="O38">HLOOKUP($N38,TRANSPOSE(CHOOSE({1,2,3,4,5,6},$F$3:$F$835,$B$3:$B$835,$E$3:$E$835,$C$3:$C$835,$A$3:$A$835,$D$3:$D$835)),2,0)</f>
        <v>Hashim</v>
      </c>
      <c r="P38" s="131">
        <f t="array" ref="P38">HLOOKUP($N38,TRANSPOSE(CHOOSE({1,2,3,4,5,6},$F$3:$F$835,$B$3:$B$835,$E$3:$E$835,$C$3:$C$835,$A$3:$A$835,$D$3:$D$835)),3,0)</f>
        <v>3843</v>
      </c>
      <c r="Q38" s="131" t="str">
        <f t="array" ref="Q38">HLOOKUP($N38,TRANSPOSE(CHOOSE({1,2,3,4,5,6},$F$3:$F$835,$B$3:$B$835,$E$3:$E$835,$C$3:$C$835,$A$3:$A$835,$D$3:$D$835)),4,0)</f>
        <v>HECC</v>
      </c>
      <c r="R38" s="131">
        <f t="array" ref="R38">HLOOKUP($N38,TRANSPOSE(CHOOSE({1,2,3,4,5,6},$F$3:$F$835,$B$3:$B$835,$E$3:$E$835,$C$3:$C$835,$A$3:$A$835,$D$3:$D$835)),1,0)</f>
        <v>332726</v>
      </c>
      <c r="S38" s="214" cm="1">
        <f t="array" ref="S38">HLOOKUP($N38,TRANSPOSE(CHOOSE({1,2,3,4,5,6},$F$3:$F$835,$B$3:$B$835,$E$3:$E$835,$C$3:$C$835,$A$3:$A$835,$D$3:$D$835)),5,0)</f>
        <v>43152</v>
      </c>
      <c r="T38" s="131" t="str">
        <f t="array" ref="T38">HLOOKUP($N38,TRANSPOSE(CHOOSE({1,2,3,4,5,6},$F$3:$F$835,$B$3:$B$835,$E$3:$E$835,$C$3:$C$835,$A$3:$A$835,$D$3:$D$835)),6,0)</f>
        <v>KA</v>
      </c>
      <c r="V38" s="22"/>
      <c r="W38" s="204"/>
    </row>
    <row r="39" spans="1:23" x14ac:dyDescent="0.35">
      <c r="A39" s="130">
        <v>42466</v>
      </c>
      <c r="B39" s="24" t="s">
        <v>285</v>
      </c>
      <c r="C39" s="24" t="s">
        <v>248</v>
      </c>
      <c r="D39" s="24" t="s">
        <v>281</v>
      </c>
      <c r="E39" s="24">
        <v>3474</v>
      </c>
      <c r="F39" s="24">
        <v>344595</v>
      </c>
      <c r="H39" s="24">
        <v>332727</v>
      </c>
      <c r="I39" s="131" t="str">
        <f t="array" ref="I39">VLOOKUP($H39,CHOOSE({1,2,3,4,5},$F$3:$F$835,$D$3:$D$835,$B$3:$B$835,$C$3:$C$835,$E$3:$E$835),2,0)</f>
        <v>KA</v>
      </c>
      <c r="J39" s="131" t="str">
        <f t="array" ref="J39">VLOOKUP($H39,CHOOSE({1,2,3,4,5},$F$3:$F$835,$D$3:$D$835,$B$3:$B$835,$C$3:$C$835,$E$3:$E$835),3,0)</f>
        <v>Hashim</v>
      </c>
      <c r="K39" s="131" t="str">
        <f t="array" ref="K39">VLOOKUP($H39,CHOOSE({1,2,3,4,5},$F$3:$F$835,$D$3:$D$835,$B$3:$B$835,$C$3:$C$835,$E$3:$E$835),4,0)</f>
        <v>HECC</v>
      </c>
      <c r="L39" s="131">
        <f t="array" ref="L39">VLOOKUP($H39,CHOOSE({1,2,3,4,5},$F$3:$F$835,$D$3:$D$835,$B$3:$B$835,$C$3:$C$835,$E$3:$E$835),5,0)</f>
        <v>4683</v>
      </c>
      <c r="M39" s="134"/>
      <c r="N39" s="24">
        <v>332727</v>
      </c>
      <c r="O39" s="131" t="str">
        <f t="array" ref="O39">HLOOKUP($N39,TRANSPOSE(CHOOSE({1,2,3,4,5,6},$F$3:$F$835,$B$3:$B$835,$E$3:$E$835,$C$3:$C$835,$A$3:$A$835,$D$3:$D$835)),2,0)</f>
        <v>Hashim</v>
      </c>
      <c r="P39" s="131">
        <f t="array" ref="P39">HLOOKUP($N39,TRANSPOSE(CHOOSE({1,2,3,4,5,6},$F$3:$F$835,$B$3:$B$835,$E$3:$E$835,$C$3:$C$835,$A$3:$A$835,$D$3:$D$835)),3,0)</f>
        <v>4683</v>
      </c>
      <c r="Q39" s="131" t="str">
        <f t="array" ref="Q39">HLOOKUP($N39,TRANSPOSE(CHOOSE({1,2,3,4,5,6},$F$3:$F$835,$B$3:$B$835,$E$3:$E$835,$C$3:$C$835,$A$3:$A$835,$D$3:$D$835)),4,0)</f>
        <v>HECC</v>
      </c>
      <c r="R39" s="131">
        <f t="array" ref="R39">HLOOKUP($N39,TRANSPOSE(CHOOSE({1,2,3,4,5,6},$F$3:$F$835,$B$3:$B$835,$E$3:$E$835,$C$3:$C$835,$A$3:$A$835,$D$3:$D$835)),1,0)</f>
        <v>332727</v>
      </c>
      <c r="S39" s="214" cm="1">
        <f t="array" ref="S39">HLOOKUP($N39,TRANSPOSE(CHOOSE({1,2,3,4,5,6},$F$3:$F$835,$B$3:$B$835,$E$3:$E$835,$C$3:$C$835,$A$3:$A$835,$D$3:$D$835)),5,0)</f>
        <v>43153</v>
      </c>
      <c r="T39" s="131" t="str">
        <f t="array" ref="T39">HLOOKUP($N39,TRANSPOSE(CHOOSE({1,2,3,4,5,6},$F$3:$F$835,$B$3:$B$835,$E$3:$E$835,$C$3:$C$835,$A$3:$A$835,$D$3:$D$835)),6,0)</f>
        <v>KA</v>
      </c>
      <c r="V39" s="22"/>
      <c r="W39" s="204"/>
    </row>
    <row r="40" spans="1:23" x14ac:dyDescent="0.35">
      <c r="A40" s="130">
        <v>42467</v>
      </c>
      <c r="B40" s="24" t="s">
        <v>285</v>
      </c>
      <c r="C40" s="24" t="s">
        <v>248</v>
      </c>
      <c r="D40" s="24" t="s">
        <v>281</v>
      </c>
      <c r="E40" s="24">
        <v>1147</v>
      </c>
      <c r="F40" s="24">
        <v>344615</v>
      </c>
      <c r="H40" s="24">
        <v>332729</v>
      </c>
      <c r="I40" s="131" t="str">
        <f t="array" ref="I40">VLOOKUP($H40,CHOOSE({1,2,3,4,5},$F$3:$F$835,$D$3:$D$835,$B$3:$B$835,$C$3:$C$835,$E$3:$E$835),2,0)</f>
        <v>KA</v>
      </c>
      <c r="J40" s="131" t="str">
        <f t="array" ref="J40">VLOOKUP($H40,CHOOSE({1,2,3,4,5},$F$3:$F$835,$D$3:$D$835,$B$3:$B$835,$C$3:$C$835,$E$3:$E$835),3,0)</f>
        <v>Moham</v>
      </c>
      <c r="K40" s="131" t="str">
        <f t="array" ref="K40">VLOOKUP($H40,CHOOSE({1,2,3,4,5},$F$3:$F$835,$D$3:$D$835,$B$3:$B$835,$C$3:$C$835,$E$3:$E$835),4,0)</f>
        <v>HECC</v>
      </c>
      <c r="L40" s="131">
        <f t="array" ref="L40">VLOOKUP($H40,CHOOSE({1,2,3,4,5},$F$3:$F$835,$D$3:$D$835,$B$3:$B$835,$C$3:$C$835,$E$3:$E$835),5,0)</f>
        <v>3472</v>
      </c>
      <c r="M40" s="134"/>
      <c r="N40" s="24">
        <v>332729</v>
      </c>
      <c r="O40" s="131" t="str">
        <f t="array" ref="O40">HLOOKUP($N40,TRANSPOSE(CHOOSE({1,2,3,4,5,6},$F$3:$F$835,$B$3:$B$835,$E$3:$E$835,$C$3:$C$835,$A$3:$A$835,$D$3:$D$835)),2,0)</f>
        <v>Moham</v>
      </c>
      <c r="P40" s="131">
        <f t="array" ref="P40">HLOOKUP($N40,TRANSPOSE(CHOOSE({1,2,3,4,5,6},$F$3:$F$835,$B$3:$B$835,$E$3:$E$835,$C$3:$C$835,$A$3:$A$835,$D$3:$D$835)),3,0)</f>
        <v>3472</v>
      </c>
      <c r="Q40" s="131" t="str">
        <f t="array" ref="Q40">HLOOKUP($N40,TRANSPOSE(CHOOSE({1,2,3,4,5,6},$F$3:$F$835,$B$3:$B$835,$E$3:$E$835,$C$3:$C$835,$A$3:$A$835,$D$3:$D$835)),4,0)</f>
        <v>HECC</v>
      </c>
      <c r="R40" s="131">
        <f t="array" ref="R40">HLOOKUP($N40,TRANSPOSE(CHOOSE({1,2,3,4,5,6},$F$3:$F$835,$B$3:$B$835,$E$3:$E$835,$C$3:$C$835,$A$3:$A$835,$D$3:$D$835)),1,0)</f>
        <v>332729</v>
      </c>
      <c r="S40" s="214" cm="1">
        <f t="array" ref="S40">HLOOKUP($N40,TRANSPOSE(CHOOSE({1,2,3,4,5,6},$F$3:$F$835,$B$3:$B$835,$E$3:$E$835,$C$3:$C$835,$A$3:$A$835,$D$3:$D$835)),5,0)</f>
        <v>43154</v>
      </c>
      <c r="T40" s="131" t="str">
        <f t="array" ref="T40">HLOOKUP($N40,TRANSPOSE(CHOOSE({1,2,3,4,5,6},$F$3:$F$835,$B$3:$B$835,$E$3:$E$835,$C$3:$C$835,$A$3:$A$835,$D$3:$D$835)),6,0)</f>
        <v>KA</v>
      </c>
      <c r="V40" s="22"/>
      <c r="W40" s="204"/>
    </row>
    <row r="41" spans="1:23" x14ac:dyDescent="0.35">
      <c r="A41" s="130">
        <v>42468</v>
      </c>
      <c r="B41" s="24" t="s">
        <v>285</v>
      </c>
      <c r="C41" s="24" t="s">
        <v>248</v>
      </c>
      <c r="D41" s="24" t="s">
        <v>281</v>
      </c>
      <c r="E41" s="24">
        <v>3320</v>
      </c>
      <c r="F41" s="24">
        <v>344630</v>
      </c>
      <c r="H41" s="24">
        <v>332732</v>
      </c>
      <c r="I41" s="131" t="str">
        <f t="array" ref="I41">VLOOKUP($H41,CHOOSE({1,2,3,4,5},$F$3:$F$835,$D$3:$D$835,$B$3:$B$835,$C$3:$C$835,$E$3:$E$835),2,0)</f>
        <v>KA</v>
      </c>
      <c r="J41" s="131" t="str">
        <f t="array" ref="J41">VLOOKUP($H41,CHOOSE({1,2,3,4,5},$F$3:$F$835,$D$3:$D$835,$B$3:$B$835,$C$3:$C$835,$E$3:$E$835),3,0)</f>
        <v>Moham</v>
      </c>
      <c r="K41" s="131" t="str">
        <f t="array" ref="K41">VLOOKUP($H41,CHOOSE({1,2,3,4,5},$F$3:$F$835,$D$3:$D$835,$B$3:$B$835,$C$3:$C$835,$E$3:$E$835),4,0)</f>
        <v>HECC</v>
      </c>
      <c r="L41" s="131">
        <f t="array" ref="L41">VLOOKUP($H41,CHOOSE({1,2,3,4,5},$F$3:$F$835,$D$3:$D$835,$B$3:$B$835,$C$3:$C$835,$E$3:$E$835),5,0)</f>
        <v>3940</v>
      </c>
      <c r="M41" s="134"/>
      <c r="N41" s="24">
        <v>332732</v>
      </c>
      <c r="O41" s="131" t="str">
        <f t="array" ref="O41">HLOOKUP($N41,TRANSPOSE(CHOOSE({1,2,3,4,5,6},$F$3:$F$835,$B$3:$B$835,$E$3:$E$835,$C$3:$C$835,$A$3:$A$835,$D$3:$D$835)),2,0)</f>
        <v>Moham</v>
      </c>
      <c r="P41" s="131">
        <f t="array" ref="P41">HLOOKUP($N41,TRANSPOSE(CHOOSE({1,2,3,4,5,6},$F$3:$F$835,$B$3:$B$835,$E$3:$E$835,$C$3:$C$835,$A$3:$A$835,$D$3:$D$835)),3,0)</f>
        <v>3940</v>
      </c>
      <c r="Q41" s="131" t="str">
        <f t="array" ref="Q41">HLOOKUP($N41,TRANSPOSE(CHOOSE({1,2,3,4,5,6},$F$3:$F$835,$B$3:$B$835,$E$3:$E$835,$C$3:$C$835,$A$3:$A$835,$D$3:$D$835)),4,0)</f>
        <v>HECC</v>
      </c>
      <c r="R41" s="131">
        <f t="array" ref="R41">HLOOKUP($N41,TRANSPOSE(CHOOSE({1,2,3,4,5,6},$F$3:$F$835,$B$3:$B$835,$E$3:$E$835,$C$3:$C$835,$A$3:$A$835,$D$3:$D$835)),1,0)</f>
        <v>332732</v>
      </c>
      <c r="S41" s="214" cm="1">
        <f t="array" ref="S41">HLOOKUP($N41,TRANSPOSE(CHOOSE({1,2,3,4,5,6},$F$3:$F$835,$B$3:$B$835,$E$3:$E$835,$C$3:$C$835,$A$3:$A$835,$D$3:$D$835)),5,0)</f>
        <v>43155</v>
      </c>
      <c r="T41" s="131" t="str">
        <f t="array" ref="T41">HLOOKUP($N41,TRANSPOSE(CHOOSE({1,2,3,4,5,6},$F$3:$F$835,$B$3:$B$835,$E$3:$E$835,$C$3:$C$835,$A$3:$A$835,$D$3:$D$835)),6,0)</f>
        <v>KA</v>
      </c>
      <c r="V41" s="22"/>
      <c r="W41" s="204"/>
    </row>
    <row r="42" spans="1:23" x14ac:dyDescent="0.35">
      <c r="A42" s="130">
        <v>42469</v>
      </c>
      <c r="B42" s="24" t="s">
        <v>286</v>
      </c>
      <c r="C42" s="24" t="s">
        <v>245</v>
      </c>
      <c r="D42" s="24" t="s">
        <v>281</v>
      </c>
      <c r="E42" s="24">
        <v>4576</v>
      </c>
      <c r="F42" s="24">
        <v>344634</v>
      </c>
      <c r="H42" s="24">
        <v>336588</v>
      </c>
      <c r="I42" s="131" t="str">
        <f t="array" ref="I42">VLOOKUP($H42,CHOOSE({1,2,3,4,5},$F$3:$F$835,$D$3:$D$835,$B$3:$B$835,$C$3:$C$835,$E$3:$E$835),2,0)</f>
        <v>KA</v>
      </c>
      <c r="J42" s="131" t="str">
        <f t="array" ref="J42">VLOOKUP($H42,CHOOSE({1,2,3,4,5},$F$3:$F$835,$D$3:$D$835,$B$3:$B$835,$C$3:$C$835,$E$3:$E$835),3,0)</f>
        <v>MohamN</v>
      </c>
      <c r="K42" s="131" t="str">
        <f t="array" ref="K42">VLOOKUP($H42,CHOOSE({1,2,3,4,5},$F$3:$F$835,$D$3:$D$835,$B$3:$B$835,$C$3:$C$835,$E$3:$E$835),4,0)</f>
        <v>HECC</v>
      </c>
      <c r="L42" s="131">
        <f t="array" ref="L42">VLOOKUP($H42,CHOOSE({1,2,3,4,5},$F$3:$F$835,$D$3:$D$835,$B$3:$B$835,$C$3:$C$835,$E$3:$E$835),5,0)</f>
        <v>1795</v>
      </c>
      <c r="M42" s="134"/>
      <c r="N42" s="24">
        <v>336588</v>
      </c>
      <c r="O42" s="131" t="str">
        <f t="array" ref="O42">HLOOKUP($N42,TRANSPOSE(CHOOSE({1,2,3,4,5,6},$F$3:$F$835,$B$3:$B$835,$E$3:$E$835,$C$3:$C$835,$A$3:$A$835,$D$3:$D$835)),2,0)</f>
        <v>MohamN</v>
      </c>
      <c r="P42" s="131">
        <f t="array" ref="P42">HLOOKUP($N42,TRANSPOSE(CHOOSE({1,2,3,4,5,6},$F$3:$F$835,$B$3:$B$835,$E$3:$E$835,$C$3:$C$835,$A$3:$A$835,$D$3:$D$835)),3,0)</f>
        <v>1795</v>
      </c>
      <c r="Q42" s="131" t="str">
        <f t="array" ref="Q42">HLOOKUP($N42,TRANSPOSE(CHOOSE({1,2,3,4,5,6},$F$3:$F$835,$B$3:$B$835,$E$3:$E$835,$C$3:$C$835,$A$3:$A$835,$D$3:$D$835)),4,0)</f>
        <v>HECC</v>
      </c>
      <c r="R42" s="131">
        <f t="array" ref="R42">HLOOKUP($N42,TRANSPOSE(CHOOSE({1,2,3,4,5,6},$F$3:$F$835,$B$3:$B$835,$E$3:$E$835,$C$3:$C$835,$A$3:$A$835,$D$3:$D$835)),1,0)</f>
        <v>336588</v>
      </c>
      <c r="S42" s="214" cm="1">
        <f t="array" ref="S42">HLOOKUP($N42,TRANSPOSE(CHOOSE({1,2,3,4,5,6},$F$3:$F$835,$B$3:$B$835,$E$3:$E$835,$C$3:$C$835,$A$3:$A$835,$D$3:$D$835)),5,0)</f>
        <v>43156</v>
      </c>
      <c r="T42" s="131" t="str">
        <f t="array" ref="T42">HLOOKUP($N42,TRANSPOSE(CHOOSE({1,2,3,4,5,6},$F$3:$F$835,$B$3:$B$835,$E$3:$E$835,$C$3:$C$835,$A$3:$A$835,$D$3:$D$835)),6,0)</f>
        <v>KA</v>
      </c>
      <c r="V42" s="22"/>
      <c r="W42" s="204"/>
    </row>
    <row r="43" spans="1:23" x14ac:dyDescent="0.35">
      <c r="A43" s="130">
        <v>42470</v>
      </c>
      <c r="B43" s="24" t="s">
        <v>287</v>
      </c>
      <c r="C43" s="24" t="s">
        <v>245</v>
      </c>
      <c r="D43" s="24" t="s">
        <v>281</v>
      </c>
      <c r="E43" s="24">
        <v>1029</v>
      </c>
      <c r="F43" s="24">
        <v>344636</v>
      </c>
      <c r="H43" s="24">
        <v>332637</v>
      </c>
      <c r="I43" s="131" t="str">
        <f t="array" ref="I43">VLOOKUP($H43,CHOOSE({1,2,3,4,5},$F$3:$F$835,$D$3:$D$835,$B$3:$B$835,$C$3:$C$835,$E$3:$E$835),2,0)</f>
        <v>KA</v>
      </c>
      <c r="J43" s="131" t="str">
        <f t="array" ref="J43">VLOOKUP($H43,CHOOSE({1,2,3,4,5},$F$3:$F$835,$D$3:$D$835,$B$3:$B$835,$C$3:$C$835,$E$3:$E$835),3,0)</f>
        <v>MohamN</v>
      </c>
      <c r="K43" s="131" t="str">
        <f t="array" ref="K43">VLOOKUP($H43,CHOOSE({1,2,3,4,5},$F$3:$F$835,$D$3:$D$835,$B$3:$B$835,$C$3:$C$835,$E$3:$E$835),4,0)</f>
        <v>HECC</v>
      </c>
      <c r="L43" s="131">
        <f t="array" ref="L43">VLOOKUP($H43,CHOOSE({1,2,3,4,5},$F$3:$F$835,$D$3:$D$835,$B$3:$B$835,$C$3:$C$835,$E$3:$E$835),5,0)</f>
        <v>1373</v>
      </c>
      <c r="M43" s="134"/>
      <c r="N43" s="24">
        <v>332637</v>
      </c>
      <c r="O43" s="131" t="str">
        <f t="array" ref="O43">HLOOKUP($N43,TRANSPOSE(CHOOSE({1,2,3,4,5,6},$F$3:$F$835,$B$3:$B$835,$E$3:$E$835,$C$3:$C$835,$A$3:$A$835,$D$3:$D$835)),2,0)</f>
        <v>MohamN</v>
      </c>
      <c r="P43" s="131">
        <f t="array" ref="P43">HLOOKUP($N43,TRANSPOSE(CHOOSE({1,2,3,4,5,6},$F$3:$F$835,$B$3:$B$835,$E$3:$E$835,$C$3:$C$835,$A$3:$A$835,$D$3:$D$835)),3,0)</f>
        <v>1373</v>
      </c>
      <c r="Q43" s="131" t="str">
        <f t="array" ref="Q43">HLOOKUP($N43,TRANSPOSE(CHOOSE({1,2,3,4,5,6},$F$3:$F$835,$B$3:$B$835,$E$3:$E$835,$C$3:$C$835,$A$3:$A$835,$D$3:$D$835)),4,0)</f>
        <v>HECC</v>
      </c>
      <c r="R43" s="131">
        <f t="array" ref="R43">HLOOKUP($N43,TRANSPOSE(CHOOSE({1,2,3,4,5,6},$F$3:$F$835,$B$3:$B$835,$E$3:$E$835,$C$3:$C$835,$A$3:$A$835,$D$3:$D$835)),1,0)</f>
        <v>332637</v>
      </c>
      <c r="S43" s="214" cm="1">
        <f t="array" ref="S43">HLOOKUP($N43,TRANSPOSE(CHOOSE({1,2,3,4,5,6},$F$3:$F$835,$B$3:$B$835,$E$3:$E$835,$C$3:$C$835,$A$3:$A$835,$D$3:$D$835)),5,0)</f>
        <v>43157</v>
      </c>
      <c r="T43" s="131" t="str">
        <f t="array" ref="T43">HLOOKUP($N43,TRANSPOSE(CHOOSE({1,2,3,4,5,6},$F$3:$F$835,$B$3:$B$835,$E$3:$E$835,$C$3:$C$835,$A$3:$A$835,$D$3:$D$835)),6,0)</f>
        <v>KA</v>
      </c>
      <c r="V43" s="22"/>
      <c r="W43" s="204"/>
    </row>
    <row r="44" spans="1:23" x14ac:dyDescent="0.35">
      <c r="A44" s="130">
        <v>42471</v>
      </c>
      <c r="B44" s="24" t="s">
        <v>287</v>
      </c>
      <c r="C44" s="24" t="s">
        <v>245</v>
      </c>
      <c r="D44" s="24" t="s">
        <v>281</v>
      </c>
      <c r="E44" s="24">
        <v>3462</v>
      </c>
      <c r="F44" s="24">
        <v>344638</v>
      </c>
      <c r="H44" s="24">
        <v>332652</v>
      </c>
      <c r="I44" s="131" t="str">
        <f t="array" ref="I44">VLOOKUP($H44,CHOOSE({1,2,3,4,5},$F$3:$F$835,$D$3:$D$835,$B$3:$B$835,$C$3:$C$835,$E$3:$E$835),2,0)</f>
        <v>KA</v>
      </c>
      <c r="J44" s="131" t="str">
        <f t="array" ref="J44">VLOOKUP($H44,CHOOSE({1,2,3,4,5},$F$3:$F$835,$D$3:$D$835,$B$3:$B$835,$C$3:$C$835,$E$3:$E$835),3,0)</f>
        <v>Shaik I</v>
      </c>
      <c r="K44" s="131" t="str">
        <f t="array" ref="K44">VLOOKUP($H44,CHOOSE({1,2,3,4,5},$F$3:$F$835,$D$3:$D$835,$B$3:$B$835,$C$3:$C$835,$E$3:$E$835),4,0)</f>
        <v>HECC</v>
      </c>
      <c r="L44" s="131">
        <f t="array" ref="L44">VLOOKUP($H44,CHOOSE({1,2,3,4,5},$F$3:$F$835,$D$3:$D$835,$B$3:$B$835,$C$3:$C$835,$E$3:$E$835),5,0)</f>
        <v>3852</v>
      </c>
      <c r="M44" s="134"/>
      <c r="N44" s="24">
        <v>332652</v>
      </c>
      <c r="O44" s="131" t="str">
        <f t="array" ref="O44">HLOOKUP($N44,TRANSPOSE(CHOOSE({1,2,3,4,5,6},$F$3:$F$835,$B$3:$B$835,$E$3:$E$835,$C$3:$C$835,$A$3:$A$835,$D$3:$D$835)),2,0)</f>
        <v>Shaik I</v>
      </c>
      <c r="P44" s="131">
        <f t="array" ref="P44">HLOOKUP($N44,TRANSPOSE(CHOOSE({1,2,3,4,5,6},$F$3:$F$835,$B$3:$B$835,$E$3:$E$835,$C$3:$C$835,$A$3:$A$835,$D$3:$D$835)),3,0)</f>
        <v>3852</v>
      </c>
      <c r="Q44" s="131" t="str">
        <f t="array" ref="Q44">HLOOKUP($N44,TRANSPOSE(CHOOSE({1,2,3,4,5,6},$F$3:$F$835,$B$3:$B$835,$E$3:$E$835,$C$3:$C$835,$A$3:$A$835,$D$3:$D$835)),4,0)</f>
        <v>HECC</v>
      </c>
      <c r="R44" s="131">
        <f t="array" ref="R44">HLOOKUP($N44,TRANSPOSE(CHOOSE({1,2,3,4,5,6},$F$3:$F$835,$B$3:$B$835,$E$3:$E$835,$C$3:$C$835,$A$3:$A$835,$D$3:$D$835)),1,0)</f>
        <v>332652</v>
      </c>
      <c r="S44" s="214" cm="1">
        <f t="array" ref="S44">HLOOKUP($N44,TRANSPOSE(CHOOSE({1,2,3,4,5,6},$F$3:$F$835,$B$3:$B$835,$E$3:$E$835,$C$3:$C$835,$A$3:$A$835,$D$3:$D$835)),5,0)</f>
        <v>43158</v>
      </c>
      <c r="T44" s="131" t="str">
        <f t="array" ref="T44">HLOOKUP($N44,TRANSPOSE(CHOOSE({1,2,3,4,5,6},$F$3:$F$835,$B$3:$B$835,$E$3:$E$835,$C$3:$C$835,$A$3:$A$835,$D$3:$D$835)),6,0)</f>
        <v>KA</v>
      </c>
      <c r="V44" s="22"/>
      <c r="W44" s="204"/>
    </row>
    <row r="45" spans="1:23" x14ac:dyDescent="0.35">
      <c r="A45" s="130">
        <v>42472</v>
      </c>
      <c r="B45" s="24" t="s">
        <v>288</v>
      </c>
      <c r="C45" s="24" t="s">
        <v>245</v>
      </c>
      <c r="D45" s="24" t="s">
        <v>281</v>
      </c>
      <c r="E45" s="24">
        <v>1746</v>
      </c>
      <c r="F45" s="24">
        <v>344640</v>
      </c>
      <c r="H45" s="24">
        <v>332678</v>
      </c>
      <c r="I45" s="131" t="str">
        <f t="array" ref="I45">VLOOKUP($H45,CHOOSE({1,2,3,4,5},$F$3:$F$835,$D$3:$D$835,$B$3:$B$835,$C$3:$C$835,$E$3:$E$835),2,0)</f>
        <v>KA</v>
      </c>
      <c r="J45" s="131" t="str">
        <f t="array" ref="J45">VLOOKUP($H45,CHOOSE({1,2,3,4,5},$F$3:$F$835,$D$3:$D$835,$B$3:$B$835,$C$3:$C$835,$E$3:$E$835),3,0)</f>
        <v>Shaik I</v>
      </c>
      <c r="K45" s="131" t="str">
        <f t="array" ref="K45">VLOOKUP($H45,CHOOSE({1,2,3,4,5},$F$3:$F$835,$D$3:$D$835,$B$3:$B$835,$C$3:$C$835,$E$3:$E$835),4,0)</f>
        <v>HECC</v>
      </c>
      <c r="L45" s="131">
        <f t="array" ref="L45">VLOOKUP($H45,CHOOSE({1,2,3,4,5},$F$3:$F$835,$D$3:$D$835,$B$3:$B$835,$C$3:$C$835,$E$3:$E$835),5,0)</f>
        <v>4040</v>
      </c>
      <c r="M45" s="134"/>
      <c r="N45" s="24">
        <v>332678</v>
      </c>
      <c r="O45" s="131" t="str">
        <f t="array" ref="O45">HLOOKUP($N45,TRANSPOSE(CHOOSE({1,2,3,4,5,6},$F$3:$F$835,$B$3:$B$835,$E$3:$E$835,$C$3:$C$835,$A$3:$A$835,$D$3:$D$835)),2,0)</f>
        <v>Shaik I</v>
      </c>
      <c r="P45" s="131">
        <f t="array" ref="P45">HLOOKUP($N45,TRANSPOSE(CHOOSE({1,2,3,4,5,6},$F$3:$F$835,$B$3:$B$835,$E$3:$E$835,$C$3:$C$835,$A$3:$A$835,$D$3:$D$835)),3,0)</f>
        <v>4040</v>
      </c>
      <c r="Q45" s="131" t="str">
        <f t="array" ref="Q45">HLOOKUP($N45,TRANSPOSE(CHOOSE({1,2,3,4,5,6},$F$3:$F$835,$B$3:$B$835,$E$3:$E$835,$C$3:$C$835,$A$3:$A$835,$D$3:$D$835)),4,0)</f>
        <v>HECC</v>
      </c>
      <c r="R45" s="131">
        <f t="array" ref="R45">HLOOKUP($N45,TRANSPOSE(CHOOSE({1,2,3,4,5,6},$F$3:$F$835,$B$3:$B$835,$E$3:$E$835,$C$3:$C$835,$A$3:$A$835,$D$3:$D$835)),1,0)</f>
        <v>332678</v>
      </c>
      <c r="S45" s="214" cm="1">
        <f t="array" ref="S45">HLOOKUP($N45,TRANSPOSE(CHOOSE({1,2,3,4,5,6},$F$3:$F$835,$B$3:$B$835,$E$3:$E$835,$C$3:$C$835,$A$3:$A$835,$D$3:$D$835)),5,0)</f>
        <v>43159</v>
      </c>
      <c r="T45" s="131" t="str">
        <f t="array" ref="T45">HLOOKUP($N45,TRANSPOSE(CHOOSE({1,2,3,4,5,6},$F$3:$F$835,$B$3:$B$835,$E$3:$E$835,$C$3:$C$835,$A$3:$A$835,$D$3:$D$835)),6,0)</f>
        <v>KA</v>
      </c>
      <c r="V45" s="22"/>
      <c r="W45" s="204"/>
    </row>
    <row r="46" spans="1:23" x14ac:dyDescent="0.35">
      <c r="A46" s="130">
        <v>42473</v>
      </c>
      <c r="B46" s="24" t="s">
        <v>288</v>
      </c>
      <c r="C46" s="24" t="s">
        <v>245</v>
      </c>
      <c r="D46" s="24" t="s">
        <v>281</v>
      </c>
      <c r="E46" s="24">
        <v>3573</v>
      </c>
      <c r="F46" s="24">
        <v>344641</v>
      </c>
      <c r="H46" s="24">
        <v>332681</v>
      </c>
      <c r="I46" s="131" t="str">
        <f t="array" ref="I46">VLOOKUP($H46,CHOOSE({1,2,3,4,5},$F$3:$F$835,$D$3:$D$835,$B$3:$B$835,$C$3:$C$835,$E$3:$E$835),2,0)</f>
        <v>KA</v>
      </c>
      <c r="J46" s="131" t="str">
        <f t="array" ref="J46">VLOOKUP($H46,CHOOSE({1,2,3,4,5},$F$3:$F$835,$D$3:$D$835,$B$3:$B$835,$C$3:$C$835,$E$3:$E$835),3,0)</f>
        <v>Shruth</v>
      </c>
      <c r="K46" s="131" t="str">
        <f t="array" ref="K46">VLOOKUP($H46,CHOOSE({1,2,3,4,5},$F$3:$F$835,$D$3:$D$835,$B$3:$B$835,$C$3:$C$835,$E$3:$E$835),4,0)</f>
        <v>HECC</v>
      </c>
      <c r="L46" s="131">
        <f t="array" ref="L46">VLOOKUP($H46,CHOOSE({1,2,3,4,5},$F$3:$F$835,$D$3:$D$835,$B$3:$B$835,$C$3:$C$835,$E$3:$E$835),5,0)</f>
        <v>4511</v>
      </c>
      <c r="M46" s="134"/>
      <c r="N46" s="24">
        <v>332681</v>
      </c>
      <c r="O46" s="131" t="str">
        <f t="array" ref="O46">HLOOKUP($N46,TRANSPOSE(CHOOSE({1,2,3,4,5,6},$F$3:$F$835,$B$3:$B$835,$E$3:$E$835,$C$3:$C$835,$A$3:$A$835,$D$3:$D$835)),2,0)</f>
        <v>Shruth</v>
      </c>
      <c r="P46" s="131">
        <f t="array" ref="P46">HLOOKUP($N46,TRANSPOSE(CHOOSE({1,2,3,4,5,6},$F$3:$F$835,$B$3:$B$835,$E$3:$E$835,$C$3:$C$835,$A$3:$A$835,$D$3:$D$835)),3,0)</f>
        <v>4511</v>
      </c>
      <c r="Q46" s="131" t="str">
        <f t="array" ref="Q46">HLOOKUP($N46,TRANSPOSE(CHOOSE({1,2,3,4,5,6},$F$3:$F$835,$B$3:$B$835,$E$3:$E$835,$C$3:$C$835,$A$3:$A$835,$D$3:$D$835)),4,0)</f>
        <v>HECC</v>
      </c>
      <c r="R46" s="131">
        <f t="array" ref="R46">HLOOKUP($N46,TRANSPOSE(CHOOSE({1,2,3,4,5,6},$F$3:$F$835,$B$3:$B$835,$E$3:$E$835,$C$3:$C$835,$A$3:$A$835,$D$3:$D$835)),1,0)</f>
        <v>332681</v>
      </c>
      <c r="S46" s="214" cm="1">
        <f t="array" ref="S46">HLOOKUP($N46,TRANSPOSE(CHOOSE({1,2,3,4,5,6},$F$3:$F$835,$B$3:$B$835,$E$3:$E$835,$C$3:$C$835,$A$3:$A$835,$D$3:$D$835)),5,0)</f>
        <v>43160</v>
      </c>
      <c r="T46" s="131" t="str">
        <f t="array" ref="T46">HLOOKUP($N46,TRANSPOSE(CHOOSE({1,2,3,4,5,6},$F$3:$F$835,$B$3:$B$835,$E$3:$E$835,$C$3:$C$835,$A$3:$A$835,$D$3:$D$835)),6,0)</f>
        <v>KA</v>
      </c>
      <c r="V46" s="22"/>
      <c r="W46" s="204"/>
    </row>
    <row r="47" spans="1:23" x14ac:dyDescent="0.35">
      <c r="A47" s="130">
        <v>42474</v>
      </c>
      <c r="B47" s="24" t="s">
        <v>289</v>
      </c>
      <c r="C47" s="24" t="s">
        <v>248</v>
      </c>
      <c r="D47" s="24" t="s">
        <v>281</v>
      </c>
      <c r="E47" s="24">
        <v>4511</v>
      </c>
      <c r="F47" s="24">
        <v>344659</v>
      </c>
      <c r="H47" s="24">
        <v>332687</v>
      </c>
      <c r="I47" s="131" t="str">
        <f t="array" ref="I47">VLOOKUP($H47,CHOOSE({1,2,3,4,5},$F$3:$F$835,$D$3:$D$835,$B$3:$B$835,$C$3:$C$835,$E$3:$E$835),2,0)</f>
        <v>KA</v>
      </c>
      <c r="J47" s="131" t="str">
        <f t="array" ref="J47">VLOOKUP($H47,CHOOSE({1,2,3,4,5},$F$3:$F$835,$D$3:$D$835,$B$3:$B$835,$C$3:$C$835,$E$3:$E$835),3,0)</f>
        <v>Shruth</v>
      </c>
      <c r="K47" s="131" t="str">
        <f t="array" ref="K47">VLOOKUP($H47,CHOOSE({1,2,3,4,5},$F$3:$F$835,$D$3:$D$835,$B$3:$B$835,$C$3:$C$835,$E$3:$E$835),4,0)</f>
        <v>HECC</v>
      </c>
      <c r="L47" s="131">
        <f t="array" ref="L47">VLOOKUP($H47,CHOOSE({1,2,3,4,5},$F$3:$F$835,$D$3:$D$835,$B$3:$B$835,$C$3:$C$835,$E$3:$E$835),5,0)</f>
        <v>1648</v>
      </c>
      <c r="M47" s="134"/>
      <c r="N47" s="24">
        <v>332687</v>
      </c>
      <c r="O47" s="131" t="str">
        <f t="array" ref="O47">HLOOKUP($N47,TRANSPOSE(CHOOSE({1,2,3,4,5,6},$F$3:$F$835,$B$3:$B$835,$E$3:$E$835,$C$3:$C$835,$A$3:$A$835,$D$3:$D$835)),2,0)</f>
        <v>Shruth</v>
      </c>
      <c r="P47" s="131">
        <f t="array" ref="P47">HLOOKUP($N47,TRANSPOSE(CHOOSE({1,2,3,4,5,6},$F$3:$F$835,$B$3:$B$835,$E$3:$E$835,$C$3:$C$835,$A$3:$A$835,$D$3:$D$835)),3,0)</f>
        <v>1648</v>
      </c>
      <c r="Q47" s="131" t="str">
        <f t="array" ref="Q47">HLOOKUP($N47,TRANSPOSE(CHOOSE({1,2,3,4,5,6},$F$3:$F$835,$B$3:$B$835,$E$3:$E$835,$C$3:$C$835,$A$3:$A$835,$D$3:$D$835)),4,0)</f>
        <v>HECC</v>
      </c>
      <c r="R47" s="131">
        <f t="array" ref="R47">HLOOKUP($N47,TRANSPOSE(CHOOSE({1,2,3,4,5,6},$F$3:$F$835,$B$3:$B$835,$E$3:$E$835,$C$3:$C$835,$A$3:$A$835,$D$3:$D$835)),1,0)</f>
        <v>332687</v>
      </c>
      <c r="S47" s="214" cm="1">
        <f t="array" ref="S47">HLOOKUP($N47,TRANSPOSE(CHOOSE({1,2,3,4,5,6},$F$3:$F$835,$B$3:$B$835,$E$3:$E$835,$C$3:$C$835,$A$3:$A$835,$D$3:$D$835)),5,0)</f>
        <v>43161</v>
      </c>
      <c r="T47" s="131" t="str">
        <f t="array" ref="T47">HLOOKUP($N47,TRANSPOSE(CHOOSE({1,2,3,4,5,6},$F$3:$F$835,$B$3:$B$835,$E$3:$E$835,$C$3:$C$835,$A$3:$A$835,$D$3:$D$835)),6,0)</f>
        <v>KA</v>
      </c>
      <c r="V47" s="22"/>
      <c r="W47" s="204"/>
    </row>
    <row r="48" spans="1:23" x14ac:dyDescent="0.35">
      <c r="A48" s="130">
        <v>42475</v>
      </c>
      <c r="B48" s="24" t="s">
        <v>290</v>
      </c>
      <c r="C48" s="24" t="s">
        <v>245</v>
      </c>
      <c r="D48" s="24" t="s">
        <v>281</v>
      </c>
      <c r="E48" s="24">
        <v>4568</v>
      </c>
      <c r="F48" s="24">
        <v>344675</v>
      </c>
      <c r="H48" s="24">
        <v>332706</v>
      </c>
      <c r="I48" s="131" t="str">
        <f t="array" ref="I48">VLOOKUP($H48,CHOOSE({1,2,3,4,5},$F$3:$F$835,$D$3:$D$835,$B$3:$B$835,$C$3:$C$835,$E$3:$E$835),2,0)</f>
        <v>KA</v>
      </c>
      <c r="J48" s="131" t="str">
        <f t="array" ref="J48">VLOOKUP($H48,CHOOSE({1,2,3,4,5},$F$3:$F$835,$D$3:$D$835,$B$3:$B$835,$C$3:$C$835,$E$3:$E$835),3,0)</f>
        <v>ABHIJEE</v>
      </c>
      <c r="K48" s="131" t="str">
        <f t="array" ref="K48">VLOOKUP($H48,CHOOSE({1,2,3,4,5},$F$3:$F$835,$D$3:$D$835,$B$3:$B$835,$C$3:$C$835,$E$3:$E$835),4,0)</f>
        <v>HECC</v>
      </c>
      <c r="L48" s="131">
        <f t="array" ref="L48">VLOOKUP($H48,CHOOSE({1,2,3,4,5},$F$3:$F$835,$D$3:$D$835,$B$3:$B$835,$C$3:$C$835,$E$3:$E$835),5,0)</f>
        <v>3018</v>
      </c>
      <c r="M48" s="134"/>
      <c r="N48" s="24">
        <v>332706</v>
      </c>
      <c r="O48" s="131" t="str">
        <f t="array" ref="O48">HLOOKUP($N48,TRANSPOSE(CHOOSE({1,2,3,4,5,6},$F$3:$F$835,$B$3:$B$835,$E$3:$E$835,$C$3:$C$835,$A$3:$A$835,$D$3:$D$835)),2,0)</f>
        <v>ABHIJEE</v>
      </c>
      <c r="P48" s="131">
        <f t="array" ref="P48">HLOOKUP($N48,TRANSPOSE(CHOOSE({1,2,3,4,5,6},$F$3:$F$835,$B$3:$B$835,$E$3:$E$835,$C$3:$C$835,$A$3:$A$835,$D$3:$D$835)),3,0)</f>
        <v>3018</v>
      </c>
      <c r="Q48" s="131" t="str">
        <f t="array" ref="Q48">HLOOKUP($N48,TRANSPOSE(CHOOSE({1,2,3,4,5,6},$F$3:$F$835,$B$3:$B$835,$E$3:$E$835,$C$3:$C$835,$A$3:$A$835,$D$3:$D$835)),4,0)</f>
        <v>HECC</v>
      </c>
      <c r="R48" s="131">
        <f t="array" ref="R48">HLOOKUP($N48,TRANSPOSE(CHOOSE({1,2,3,4,5,6},$F$3:$F$835,$B$3:$B$835,$E$3:$E$835,$C$3:$C$835,$A$3:$A$835,$D$3:$D$835)),1,0)</f>
        <v>332706</v>
      </c>
      <c r="S48" s="214" cm="1">
        <f t="array" ref="S48">HLOOKUP($N48,TRANSPOSE(CHOOSE({1,2,3,4,5,6},$F$3:$F$835,$B$3:$B$835,$E$3:$E$835,$C$3:$C$835,$A$3:$A$835,$D$3:$D$835)),5,0)</f>
        <v>43162</v>
      </c>
      <c r="T48" s="131" t="str">
        <f t="array" ref="T48">HLOOKUP($N48,TRANSPOSE(CHOOSE({1,2,3,4,5,6},$F$3:$F$835,$B$3:$B$835,$E$3:$E$835,$C$3:$C$835,$A$3:$A$835,$D$3:$D$835)),6,0)</f>
        <v>KA</v>
      </c>
      <c r="V48" s="22"/>
      <c r="W48" s="204"/>
    </row>
    <row r="49" spans="1:23" x14ac:dyDescent="0.35">
      <c r="A49" s="130">
        <v>42476</v>
      </c>
      <c r="B49" s="24" t="s">
        <v>291</v>
      </c>
      <c r="C49" s="24" t="s">
        <v>245</v>
      </c>
      <c r="D49" s="24" t="s">
        <v>281</v>
      </c>
      <c r="E49" s="24">
        <v>2993</v>
      </c>
      <c r="F49" s="24">
        <v>344685</v>
      </c>
      <c r="H49" s="24">
        <v>332707</v>
      </c>
      <c r="I49" s="131" t="str">
        <f t="array" ref="I49">VLOOKUP($H49,CHOOSE({1,2,3,4,5},$F$3:$F$835,$D$3:$D$835,$B$3:$B$835,$C$3:$C$835,$E$3:$E$835),2,0)</f>
        <v>KA</v>
      </c>
      <c r="J49" s="131" t="str">
        <f t="array" ref="J49">VLOOKUP($H49,CHOOSE({1,2,3,4,5},$F$3:$F$835,$D$3:$D$835,$B$3:$B$835,$C$3:$C$835,$E$3:$E$835),3,0)</f>
        <v>MOHAMME</v>
      </c>
      <c r="K49" s="131" t="str">
        <f t="array" ref="K49">VLOOKUP($H49,CHOOSE({1,2,3,4,5},$F$3:$F$835,$D$3:$D$835,$B$3:$B$835,$C$3:$C$835,$E$3:$E$835),4,0)</f>
        <v>HECC</v>
      </c>
      <c r="L49" s="131">
        <f t="array" ref="L49">VLOOKUP($H49,CHOOSE({1,2,3,4,5},$F$3:$F$835,$D$3:$D$835,$B$3:$B$835,$C$3:$C$835,$E$3:$E$835),5,0)</f>
        <v>1318</v>
      </c>
      <c r="M49" s="134"/>
      <c r="N49" s="24">
        <v>332707</v>
      </c>
      <c r="O49" s="131" t="str">
        <f t="array" ref="O49">HLOOKUP($N49,TRANSPOSE(CHOOSE({1,2,3,4,5,6},$F$3:$F$835,$B$3:$B$835,$E$3:$E$835,$C$3:$C$835,$A$3:$A$835,$D$3:$D$835)),2,0)</f>
        <v>MOHAMME</v>
      </c>
      <c r="P49" s="131">
        <f t="array" ref="P49">HLOOKUP($N49,TRANSPOSE(CHOOSE({1,2,3,4,5,6},$F$3:$F$835,$B$3:$B$835,$E$3:$E$835,$C$3:$C$835,$A$3:$A$835,$D$3:$D$835)),3,0)</f>
        <v>1318</v>
      </c>
      <c r="Q49" s="131" t="str">
        <f t="array" ref="Q49">HLOOKUP($N49,TRANSPOSE(CHOOSE({1,2,3,4,5,6},$F$3:$F$835,$B$3:$B$835,$E$3:$E$835,$C$3:$C$835,$A$3:$A$835,$D$3:$D$835)),4,0)</f>
        <v>HECC</v>
      </c>
      <c r="R49" s="131">
        <f t="array" ref="R49">HLOOKUP($N49,TRANSPOSE(CHOOSE({1,2,3,4,5,6},$F$3:$F$835,$B$3:$B$835,$E$3:$E$835,$C$3:$C$835,$A$3:$A$835,$D$3:$D$835)),1,0)</f>
        <v>332707</v>
      </c>
      <c r="S49" s="214" cm="1">
        <f t="array" ref="S49">HLOOKUP($N49,TRANSPOSE(CHOOSE({1,2,3,4,5,6},$F$3:$F$835,$B$3:$B$835,$E$3:$E$835,$C$3:$C$835,$A$3:$A$835,$D$3:$D$835)),5,0)</f>
        <v>43163</v>
      </c>
      <c r="T49" s="131" t="str">
        <f t="array" ref="T49">HLOOKUP($N49,TRANSPOSE(CHOOSE({1,2,3,4,5,6},$F$3:$F$835,$B$3:$B$835,$E$3:$E$835,$C$3:$C$835,$A$3:$A$835,$D$3:$D$835)),6,0)</f>
        <v>KA</v>
      </c>
      <c r="V49" s="22"/>
      <c r="W49" s="204"/>
    </row>
    <row r="50" spans="1:23" x14ac:dyDescent="0.35">
      <c r="A50" s="130">
        <v>42477</v>
      </c>
      <c r="B50" s="24" t="s">
        <v>267</v>
      </c>
      <c r="C50" s="24" t="s">
        <v>245</v>
      </c>
      <c r="D50" s="24" t="s">
        <v>281</v>
      </c>
      <c r="E50" s="24">
        <v>1871</v>
      </c>
      <c r="F50" s="24">
        <v>344696</v>
      </c>
      <c r="H50" s="24">
        <v>332711</v>
      </c>
      <c r="I50" s="131" t="str">
        <f t="array" ref="I50">VLOOKUP($H50,CHOOSE({1,2,3,4,5},$F$3:$F$835,$D$3:$D$835,$B$3:$B$835,$C$3:$C$835,$E$3:$E$835),2,0)</f>
        <v>KA</v>
      </c>
      <c r="J50" s="131" t="str">
        <f t="array" ref="J50">VLOOKUP($H50,CHOOSE({1,2,3,4,5},$F$3:$F$835,$D$3:$D$835,$B$3:$B$835,$C$3:$C$835,$E$3:$E$835),3,0)</f>
        <v>MOHAMME</v>
      </c>
      <c r="K50" s="131" t="str">
        <f t="array" ref="K50">VLOOKUP($H50,CHOOSE({1,2,3,4,5},$F$3:$F$835,$D$3:$D$835,$B$3:$B$835,$C$3:$C$835,$E$3:$E$835),4,0)</f>
        <v>HECC</v>
      </c>
      <c r="L50" s="131">
        <f t="array" ref="L50">VLOOKUP($H50,CHOOSE({1,2,3,4,5},$F$3:$F$835,$D$3:$D$835,$B$3:$B$835,$C$3:$C$835,$E$3:$E$835),5,0)</f>
        <v>2788</v>
      </c>
      <c r="M50" s="134"/>
      <c r="N50" s="24">
        <v>332711</v>
      </c>
      <c r="O50" s="131" t="str">
        <f t="array" ref="O50">HLOOKUP($N50,TRANSPOSE(CHOOSE({1,2,3,4,5,6},$F$3:$F$835,$B$3:$B$835,$E$3:$E$835,$C$3:$C$835,$A$3:$A$835,$D$3:$D$835)),2,0)</f>
        <v>MOHAMME</v>
      </c>
      <c r="P50" s="131">
        <f t="array" ref="P50">HLOOKUP($N50,TRANSPOSE(CHOOSE({1,2,3,4,5,6},$F$3:$F$835,$B$3:$B$835,$E$3:$E$835,$C$3:$C$835,$A$3:$A$835,$D$3:$D$835)),3,0)</f>
        <v>2788</v>
      </c>
      <c r="Q50" s="131" t="str">
        <f t="array" ref="Q50">HLOOKUP($N50,TRANSPOSE(CHOOSE({1,2,3,4,5,6},$F$3:$F$835,$B$3:$B$835,$E$3:$E$835,$C$3:$C$835,$A$3:$A$835,$D$3:$D$835)),4,0)</f>
        <v>HECC</v>
      </c>
      <c r="R50" s="131">
        <f t="array" ref="R50">HLOOKUP($N50,TRANSPOSE(CHOOSE({1,2,3,4,5,6},$F$3:$F$835,$B$3:$B$835,$E$3:$E$835,$C$3:$C$835,$A$3:$A$835,$D$3:$D$835)),1,0)</f>
        <v>332711</v>
      </c>
      <c r="S50" s="214" cm="1">
        <f t="array" ref="S50">HLOOKUP($N50,TRANSPOSE(CHOOSE({1,2,3,4,5,6},$F$3:$F$835,$B$3:$B$835,$E$3:$E$835,$C$3:$C$835,$A$3:$A$835,$D$3:$D$835)),5,0)</f>
        <v>43164</v>
      </c>
      <c r="T50" s="131" t="str">
        <f t="array" ref="T50">HLOOKUP($N50,TRANSPOSE(CHOOSE({1,2,3,4,5,6},$F$3:$F$835,$B$3:$B$835,$E$3:$E$835,$C$3:$C$835,$A$3:$A$835,$D$3:$D$835)),6,0)</f>
        <v>KA</v>
      </c>
      <c r="V50" s="22"/>
      <c r="W50" s="204"/>
    </row>
    <row r="51" spans="1:23" x14ac:dyDescent="0.35">
      <c r="A51" s="130">
        <v>42478</v>
      </c>
      <c r="B51" s="24" t="s">
        <v>267</v>
      </c>
      <c r="C51" s="24" t="s">
        <v>245</v>
      </c>
      <c r="D51" s="24" t="s">
        <v>281</v>
      </c>
      <c r="E51" s="24">
        <v>3958</v>
      </c>
      <c r="F51" s="24">
        <v>344699</v>
      </c>
      <c r="H51" s="24">
        <v>332712</v>
      </c>
      <c r="I51" s="131" t="str">
        <f t="array" ref="I51">VLOOKUP($H51,CHOOSE({1,2,3,4,5},$F$3:$F$835,$D$3:$D$835,$B$3:$B$835,$C$3:$C$835,$E$3:$E$835),2,0)</f>
        <v>KA</v>
      </c>
      <c r="J51" s="131" t="str">
        <f t="array" ref="J51">VLOOKUP($H51,CHOOSE({1,2,3,4,5},$F$3:$F$835,$D$3:$D$835,$B$3:$B$835,$C$3:$C$835,$E$3:$E$835),3,0)</f>
        <v>NAVEEN</v>
      </c>
      <c r="K51" s="131" t="str">
        <f t="array" ref="K51">VLOOKUP($H51,CHOOSE({1,2,3,4,5},$F$3:$F$835,$D$3:$D$835,$B$3:$B$835,$C$3:$C$835,$E$3:$E$835),4,0)</f>
        <v>HECC</v>
      </c>
      <c r="L51" s="131">
        <f t="array" ref="L51">VLOOKUP($H51,CHOOSE({1,2,3,4,5},$F$3:$F$835,$D$3:$D$835,$B$3:$B$835,$C$3:$C$835,$E$3:$E$835),5,0)</f>
        <v>1794</v>
      </c>
      <c r="M51" s="134"/>
      <c r="N51" s="24">
        <v>332712</v>
      </c>
      <c r="O51" s="131" t="str">
        <f t="array" ref="O51">HLOOKUP($N51,TRANSPOSE(CHOOSE({1,2,3,4,5,6},$F$3:$F$835,$B$3:$B$835,$E$3:$E$835,$C$3:$C$835,$A$3:$A$835,$D$3:$D$835)),2,0)</f>
        <v>NAVEEN</v>
      </c>
      <c r="P51" s="131">
        <f t="array" ref="P51">HLOOKUP($N51,TRANSPOSE(CHOOSE({1,2,3,4,5,6},$F$3:$F$835,$B$3:$B$835,$E$3:$E$835,$C$3:$C$835,$A$3:$A$835,$D$3:$D$835)),3,0)</f>
        <v>1794</v>
      </c>
      <c r="Q51" s="131" t="str">
        <f t="array" ref="Q51">HLOOKUP($N51,TRANSPOSE(CHOOSE({1,2,3,4,5,6},$F$3:$F$835,$B$3:$B$835,$E$3:$E$835,$C$3:$C$835,$A$3:$A$835,$D$3:$D$835)),4,0)</f>
        <v>HECC</v>
      </c>
      <c r="R51" s="131">
        <f t="array" ref="R51">HLOOKUP($N51,TRANSPOSE(CHOOSE({1,2,3,4,5,6},$F$3:$F$835,$B$3:$B$835,$E$3:$E$835,$C$3:$C$835,$A$3:$A$835,$D$3:$D$835)),1,0)</f>
        <v>332712</v>
      </c>
      <c r="S51" s="214" cm="1">
        <f t="array" ref="S51">HLOOKUP($N51,TRANSPOSE(CHOOSE({1,2,3,4,5,6},$F$3:$F$835,$B$3:$B$835,$E$3:$E$835,$C$3:$C$835,$A$3:$A$835,$D$3:$D$835)),5,0)</f>
        <v>43165</v>
      </c>
      <c r="T51" s="131" t="str">
        <f t="array" ref="T51">HLOOKUP($N51,TRANSPOSE(CHOOSE({1,2,3,4,5,6},$F$3:$F$835,$B$3:$B$835,$E$3:$E$835,$C$3:$C$835,$A$3:$A$835,$D$3:$D$835)),6,0)</f>
        <v>KA</v>
      </c>
      <c r="V51" s="22"/>
      <c r="W51" s="204"/>
    </row>
    <row r="52" spans="1:23" x14ac:dyDescent="0.35">
      <c r="A52" s="130">
        <v>42479</v>
      </c>
      <c r="B52" s="24" t="s">
        <v>292</v>
      </c>
      <c r="C52" s="24" t="s">
        <v>245</v>
      </c>
      <c r="D52" s="24" t="s">
        <v>281</v>
      </c>
      <c r="E52" s="24">
        <v>2369</v>
      </c>
      <c r="F52" s="24">
        <v>344700</v>
      </c>
      <c r="H52" s="24">
        <v>332718</v>
      </c>
      <c r="I52" s="131" t="str">
        <f t="array" ref="I52">VLOOKUP($H52,CHOOSE({1,2,3,4,5},$F$3:$F$835,$D$3:$D$835,$B$3:$B$835,$C$3:$C$835,$E$3:$E$835),2,0)</f>
        <v>KA</v>
      </c>
      <c r="J52" s="131" t="str">
        <f t="array" ref="J52">VLOOKUP($H52,CHOOSE({1,2,3,4,5},$F$3:$F$835,$D$3:$D$835,$B$3:$B$835,$C$3:$C$835,$E$3:$E$835),3,0)</f>
        <v>NAVEEN</v>
      </c>
      <c r="K52" s="131" t="str">
        <f t="array" ref="K52">VLOOKUP($H52,CHOOSE({1,2,3,4,5},$F$3:$F$835,$D$3:$D$835,$B$3:$B$835,$C$3:$C$835,$E$3:$E$835),4,0)</f>
        <v>HECC</v>
      </c>
      <c r="L52" s="131">
        <f t="array" ref="L52">VLOOKUP($H52,CHOOSE({1,2,3,4,5},$F$3:$F$835,$D$3:$D$835,$B$3:$B$835,$C$3:$C$835,$E$3:$E$835),5,0)</f>
        <v>3576</v>
      </c>
      <c r="M52" s="134"/>
      <c r="N52" s="24">
        <v>332718</v>
      </c>
      <c r="O52" s="131" t="str">
        <f t="array" ref="O52">HLOOKUP($N52,TRANSPOSE(CHOOSE({1,2,3,4,5,6},$F$3:$F$835,$B$3:$B$835,$E$3:$E$835,$C$3:$C$835,$A$3:$A$835,$D$3:$D$835)),2,0)</f>
        <v>NAVEEN</v>
      </c>
      <c r="P52" s="131">
        <f t="array" ref="P52">HLOOKUP($N52,TRANSPOSE(CHOOSE({1,2,3,4,5,6},$F$3:$F$835,$B$3:$B$835,$E$3:$E$835,$C$3:$C$835,$A$3:$A$835,$D$3:$D$835)),3,0)</f>
        <v>3576</v>
      </c>
      <c r="Q52" s="131" t="str">
        <f t="array" ref="Q52">HLOOKUP($N52,TRANSPOSE(CHOOSE({1,2,3,4,5,6},$F$3:$F$835,$B$3:$B$835,$E$3:$E$835,$C$3:$C$835,$A$3:$A$835,$D$3:$D$835)),4,0)</f>
        <v>HECC</v>
      </c>
      <c r="R52" s="131">
        <f t="array" ref="R52">HLOOKUP($N52,TRANSPOSE(CHOOSE({1,2,3,4,5,6},$F$3:$F$835,$B$3:$B$835,$E$3:$E$835,$C$3:$C$835,$A$3:$A$835,$D$3:$D$835)),1,0)</f>
        <v>332718</v>
      </c>
      <c r="S52" s="214" cm="1">
        <f t="array" ref="S52">HLOOKUP($N52,TRANSPOSE(CHOOSE({1,2,3,4,5,6},$F$3:$F$835,$B$3:$B$835,$E$3:$E$835,$C$3:$C$835,$A$3:$A$835,$D$3:$D$835)),5,0)</f>
        <v>43166</v>
      </c>
      <c r="T52" s="131" t="str">
        <f t="array" ref="T52">HLOOKUP($N52,TRANSPOSE(CHOOSE({1,2,3,4,5,6},$F$3:$F$835,$B$3:$B$835,$E$3:$E$835,$C$3:$C$835,$A$3:$A$835,$D$3:$D$835)),6,0)</f>
        <v>KA</v>
      </c>
      <c r="V52" s="22"/>
      <c r="W52" s="204"/>
    </row>
    <row r="53" spans="1:23" x14ac:dyDescent="0.35">
      <c r="A53" s="130">
        <v>42480</v>
      </c>
      <c r="B53" s="24" t="s">
        <v>292</v>
      </c>
      <c r="C53" s="24" t="s">
        <v>245</v>
      </c>
      <c r="D53" s="24" t="s">
        <v>281</v>
      </c>
      <c r="E53" s="24">
        <v>1316</v>
      </c>
      <c r="F53" s="24">
        <v>344701</v>
      </c>
      <c r="H53" s="24">
        <v>332719</v>
      </c>
      <c r="I53" s="131" t="str">
        <f t="array" ref="I53">VLOOKUP($H53,CHOOSE({1,2,3,4,5},$F$3:$F$835,$D$3:$D$835,$B$3:$B$835,$C$3:$C$835,$E$3:$E$835),2,0)</f>
        <v>KA</v>
      </c>
      <c r="J53" s="131" t="str">
        <f t="array" ref="J53">VLOOKUP($H53,CHOOSE({1,2,3,4,5},$F$3:$F$835,$D$3:$D$835,$B$3:$B$835,$C$3:$C$835,$E$3:$E$835),3,0)</f>
        <v>SYED RI</v>
      </c>
      <c r="K53" s="131" t="str">
        <f t="array" ref="K53">VLOOKUP($H53,CHOOSE({1,2,3,4,5},$F$3:$F$835,$D$3:$D$835,$B$3:$B$835,$C$3:$C$835,$E$3:$E$835),4,0)</f>
        <v>HECC</v>
      </c>
      <c r="L53" s="131">
        <f t="array" ref="L53">VLOOKUP($H53,CHOOSE({1,2,3,4,5},$F$3:$F$835,$D$3:$D$835,$B$3:$B$835,$C$3:$C$835,$E$3:$E$835),5,0)</f>
        <v>4964</v>
      </c>
      <c r="M53" s="134"/>
      <c r="N53" s="24">
        <v>332719</v>
      </c>
      <c r="O53" s="131" t="str">
        <f t="array" ref="O53">HLOOKUP($N53,TRANSPOSE(CHOOSE({1,2,3,4,5,6},$F$3:$F$835,$B$3:$B$835,$E$3:$E$835,$C$3:$C$835,$A$3:$A$835,$D$3:$D$835)),2,0)</f>
        <v>SYED RI</v>
      </c>
      <c r="P53" s="131">
        <f t="array" ref="P53">HLOOKUP($N53,TRANSPOSE(CHOOSE({1,2,3,4,5,6},$F$3:$F$835,$B$3:$B$835,$E$3:$E$835,$C$3:$C$835,$A$3:$A$835,$D$3:$D$835)),3,0)</f>
        <v>4964</v>
      </c>
      <c r="Q53" s="131" t="str">
        <f t="array" ref="Q53">HLOOKUP($N53,TRANSPOSE(CHOOSE({1,2,3,4,5,6},$F$3:$F$835,$B$3:$B$835,$E$3:$E$835,$C$3:$C$835,$A$3:$A$835,$D$3:$D$835)),4,0)</f>
        <v>HECC</v>
      </c>
      <c r="R53" s="131">
        <f t="array" ref="R53">HLOOKUP($N53,TRANSPOSE(CHOOSE({1,2,3,4,5,6},$F$3:$F$835,$B$3:$B$835,$E$3:$E$835,$C$3:$C$835,$A$3:$A$835,$D$3:$D$835)),1,0)</f>
        <v>332719</v>
      </c>
      <c r="S53" s="214" cm="1">
        <f t="array" ref="S53">HLOOKUP($N53,TRANSPOSE(CHOOSE({1,2,3,4,5,6},$F$3:$F$835,$B$3:$B$835,$E$3:$E$835,$C$3:$C$835,$A$3:$A$835,$D$3:$D$835)),5,0)</f>
        <v>43167</v>
      </c>
      <c r="T53" s="131" t="str">
        <f t="array" ref="T53">HLOOKUP($N53,TRANSPOSE(CHOOSE({1,2,3,4,5,6},$F$3:$F$835,$B$3:$B$835,$E$3:$E$835,$C$3:$C$835,$A$3:$A$835,$D$3:$D$835)),6,0)</f>
        <v>KA</v>
      </c>
      <c r="V53" s="22"/>
      <c r="W53" s="204"/>
    </row>
    <row r="54" spans="1:23" x14ac:dyDescent="0.35">
      <c r="A54" s="130">
        <v>42481</v>
      </c>
      <c r="B54" s="24" t="s">
        <v>293</v>
      </c>
      <c r="C54" s="24" t="s">
        <v>245</v>
      </c>
      <c r="D54" s="24" t="s">
        <v>281</v>
      </c>
      <c r="E54" s="24">
        <v>4056</v>
      </c>
      <c r="F54" s="24">
        <v>344702</v>
      </c>
      <c r="H54" s="24">
        <v>336534</v>
      </c>
      <c r="I54" s="131" t="str">
        <f t="array" ref="I54">VLOOKUP($H54,CHOOSE({1,2,3,4,5},$F$3:$F$835,$D$3:$D$835,$B$3:$B$835,$C$3:$C$835,$E$3:$E$835),2,0)</f>
        <v>KA</v>
      </c>
      <c r="J54" s="131" t="str">
        <f t="array" ref="J54">VLOOKUP($H54,CHOOSE({1,2,3,4,5},$F$3:$F$835,$D$3:$D$835,$B$3:$B$835,$C$3:$C$835,$E$3:$E$835),3,0)</f>
        <v>SYED RI</v>
      </c>
      <c r="K54" s="131" t="str">
        <f t="array" ref="K54">VLOOKUP($H54,CHOOSE({1,2,3,4,5},$F$3:$F$835,$D$3:$D$835,$B$3:$B$835,$C$3:$C$835,$E$3:$E$835),4,0)</f>
        <v>HECC</v>
      </c>
      <c r="L54" s="131">
        <f t="array" ref="L54">VLOOKUP($H54,CHOOSE({1,2,3,4,5},$F$3:$F$835,$D$3:$D$835,$B$3:$B$835,$C$3:$C$835,$E$3:$E$835),5,0)</f>
        <v>2672</v>
      </c>
      <c r="M54" s="134"/>
      <c r="N54" s="24">
        <v>336534</v>
      </c>
      <c r="O54" s="131" t="str">
        <f t="array" ref="O54">HLOOKUP($N54,TRANSPOSE(CHOOSE({1,2,3,4,5,6},$F$3:$F$835,$B$3:$B$835,$E$3:$E$835,$C$3:$C$835,$A$3:$A$835,$D$3:$D$835)),2,0)</f>
        <v>SYED RI</v>
      </c>
      <c r="P54" s="131">
        <f t="array" ref="P54">HLOOKUP($N54,TRANSPOSE(CHOOSE({1,2,3,4,5,6},$F$3:$F$835,$B$3:$B$835,$E$3:$E$835,$C$3:$C$835,$A$3:$A$835,$D$3:$D$835)),3,0)</f>
        <v>2672</v>
      </c>
      <c r="Q54" s="131" t="str">
        <f t="array" ref="Q54">HLOOKUP($N54,TRANSPOSE(CHOOSE({1,2,3,4,5,6},$F$3:$F$835,$B$3:$B$835,$E$3:$E$835,$C$3:$C$835,$A$3:$A$835,$D$3:$D$835)),4,0)</f>
        <v>HECC</v>
      </c>
      <c r="R54" s="131">
        <f t="array" ref="R54">HLOOKUP($N54,TRANSPOSE(CHOOSE({1,2,3,4,5,6},$F$3:$F$835,$B$3:$B$835,$E$3:$E$835,$C$3:$C$835,$A$3:$A$835,$D$3:$D$835)),1,0)</f>
        <v>336534</v>
      </c>
      <c r="S54" s="214" cm="1">
        <f t="array" ref="S54">HLOOKUP($N54,TRANSPOSE(CHOOSE({1,2,3,4,5,6},$F$3:$F$835,$B$3:$B$835,$E$3:$E$835,$C$3:$C$835,$A$3:$A$835,$D$3:$D$835)),5,0)</f>
        <v>43168</v>
      </c>
      <c r="T54" s="131" t="str">
        <f t="array" ref="T54">HLOOKUP($N54,TRANSPOSE(CHOOSE({1,2,3,4,5,6},$F$3:$F$835,$B$3:$B$835,$E$3:$E$835,$C$3:$C$835,$A$3:$A$835,$D$3:$D$835)),6,0)</f>
        <v>KA</v>
      </c>
      <c r="V54" s="22"/>
      <c r="W54" s="204"/>
    </row>
    <row r="55" spans="1:23" x14ac:dyDescent="0.35">
      <c r="A55" s="130">
        <v>42482</v>
      </c>
      <c r="B55" s="24" t="s">
        <v>294</v>
      </c>
      <c r="C55" s="24" t="s">
        <v>245</v>
      </c>
      <c r="D55" s="24" t="s">
        <v>281</v>
      </c>
      <c r="E55" s="24">
        <v>2978</v>
      </c>
      <c r="F55" s="24">
        <v>344703</v>
      </c>
      <c r="H55" s="24">
        <v>332633</v>
      </c>
      <c r="I55" s="131" t="str">
        <f t="array" ref="I55">VLOOKUP($H55,CHOOSE({1,2,3,4,5},$F$3:$F$835,$D$3:$D$835,$B$3:$B$835,$C$3:$C$835,$E$3:$E$835),2,0)</f>
        <v>KA</v>
      </c>
      <c r="J55" s="131" t="str">
        <f t="array" ref="J55">VLOOKUP($H55,CHOOSE({1,2,3,4,5},$F$3:$F$835,$D$3:$D$835,$B$3:$B$835,$C$3:$C$835,$E$3:$E$835),3,0)</f>
        <v>MOHaMME</v>
      </c>
      <c r="K55" s="131" t="str">
        <f t="array" ref="K55">VLOOKUP($H55,CHOOSE({1,2,3,4,5},$F$3:$F$835,$D$3:$D$835,$B$3:$B$835,$C$3:$C$835,$E$3:$E$835),4,0)</f>
        <v>HECC</v>
      </c>
      <c r="L55" s="131">
        <f t="array" ref="L55">VLOOKUP($H55,CHOOSE({1,2,3,4,5},$F$3:$F$835,$D$3:$D$835,$B$3:$B$835,$C$3:$C$835,$E$3:$E$835),5,0)</f>
        <v>1173</v>
      </c>
      <c r="M55" s="134"/>
      <c r="N55" s="24">
        <v>332633</v>
      </c>
      <c r="O55" s="131" t="str">
        <f t="array" ref="O55">HLOOKUP($N55,TRANSPOSE(CHOOSE({1,2,3,4,5,6},$F$3:$F$835,$B$3:$B$835,$E$3:$E$835,$C$3:$C$835,$A$3:$A$835,$D$3:$D$835)),2,0)</f>
        <v>MOHaMME</v>
      </c>
      <c r="P55" s="131">
        <f t="array" ref="P55">HLOOKUP($N55,TRANSPOSE(CHOOSE({1,2,3,4,5,6},$F$3:$F$835,$B$3:$B$835,$E$3:$E$835,$C$3:$C$835,$A$3:$A$835,$D$3:$D$835)),3,0)</f>
        <v>1173</v>
      </c>
      <c r="Q55" s="131" t="str">
        <f t="array" ref="Q55">HLOOKUP($N55,TRANSPOSE(CHOOSE({1,2,3,4,5,6},$F$3:$F$835,$B$3:$B$835,$E$3:$E$835,$C$3:$C$835,$A$3:$A$835,$D$3:$D$835)),4,0)</f>
        <v>HECC</v>
      </c>
      <c r="R55" s="131">
        <f t="array" ref="R55">HLOOKUP($N55,TRANSPOSE(CHOOSE({1,2,3,4,5,6},$F$3:$F$835,$B$3:$B$835,$E$3:$E$835,$C$3:$C$835,$A$3:$A$835,$D$3:$D$835)),1,0)</f>
        <v>332633</v>
      </c>
      <c r="S55" s="214" cm="1">
        <f t="array" ref="S55">HLOOKUP($N55,TRANSPOSE(CHOOSE({1,2,3,4,5,6},$F$3:$F$835,$B$3:$B$835,$E$3:$E$835,$C$3:$C$835,$A$3:$A$835,$D$3:$D$835)),5,0)</f>
        <v>43169</v>
      </c>
      <c r="T55" s="131" t="str">
        <f t="array" ref="T55">HLOOKUP($N55,TRANSPOSE(CHOOSE({1,2,3,4,5,6},$F$3:$F$835,$B$3:$B$835,$E$3:$E$835,$C$3:$C$835,$A$3:$A$835,$D$3:$D$835)),6,0)</f>
        <v>KA</v>
      </c>
      <c r="V55" s="22"/>
      <c r="W55" s="204"/>
    </row>
    <row r="56" spans="1:23" x14ac:dyDescent="0.35">
      <c r="A56" s="130">
        <v>42483</v>
      </c>
      <c r="B56" s="24" t="s">
        <v>294</v>
      </c>
      <c r="C56" s="24" t="s">
        <v>245</v>
      </c>
      <c r="D56" s="24" t="s">
        <v>281</v>
      </c>
      <c r="E56" s="24">
        <v>4697</v>
      </c>
      <c r="F56" s="24">
        <v>344704</v>
      </c>
      <c r="H56" s="24">
        <v>332662</v>
      </c>
      <c r="I56" s="131" t="str">
        <f t="array" ref="I56">VLOOKUP($H56,CHOOSE({1,2,3,4,5},$F$3:$F$835,$D$3:$D$835,$B$3:$B$835,$C$3:$C$835,$E$3:$E$835),2,0)</f>
        <v>KA</v>
      </c>
      <c r="J56" s="131" t="str">
        <f t="array" ref="J56">VLOOKUP($H56,CHOOSE({1,2,3,4,5},$F$3:$F$835,$D$3:$D$835,$B$3:$B$835,$C$3:$C$835,$E$3:$E$835),3,0)</f>
        <v>ASHWIN</v>
      </c>
      <c r="K56" s="131" t="str">
        <f t="array" ref="K56">VLOOKUP($H56,CHOOSE({1,2,3,4,5},$F$3:$F$835,$D$3:$D$835,$B$3:$B$835,$C$3:$C$835,$E$3:$E$835),4,0)</f>
        <v>HECC</v>
      </c>
      <c r="L56" s="131">
        <f t="array" ref="L56">VLOOKUP($H56,CHOOSE({1,2,3,4,5},$F$3:$F$835,$D$3:$D$835,$B$3:$B$835,$C$3:$C$835,$E$3:$E$835),5,0)</f>
        <v>3480</v>
      </c>
      <c r="M56" s="134"/>
      <c r="N56" s="24">
        <v>332662</v>
      </c>
      <c r="O56" s="131" t="str">
        <f t="array" ref="O56">HLOOKUP($N56,TRANSPOSE(CHOOSE({1,2,3,4,5,6},$F$3:$F$835,$B$3:$B$835,$E$3:$E$835,$C$3:$C$835,$A$3:$A$835,$D$3:$D$835)),2,0)</f>
        <v>ASHWIN</v>
      </c>
      <c r="P56" s="131">
        <f t="array" ref="P56">HLOOKUP($N56,TRANSPOSE(CHOOSE({1,2,3,4,5,6},$F$3:$F$835,$B$3:$B$835,$E$3:$E$835,$C$3:$C$835,$A$3:$A$835,$D$3:$D$835)),3,0)</f>
        <v>3480</v>
      </c>
      <c r="Q56" s="131" t="str">
        <f t="array" ref="Q56">HLOOKUP($N56,TRANSPOSE(CHOOSE({1,2,3,4,5,6},$F$3:$F$835,$B$3:$B$835,$E$3:$E$835,$C$3:$C$835,$A$3:$A$835,$D$3:$D$835)),4,0)</f>
        <v>HECC</v>
      </c>
      <c r="R56" s="131">
        <f t="array" ref="R56">HLOOKUP($N56,TRANSPOSE(CHOOSE({1,2,3,4,5,6},$F$3:$F$835,$B$3:$B$835,$E$3:$E$835,$C$3:$C$835,$A$3:$A$835,$D$3:$D$835)),1,0)</f>
        <v>332662</v>
      </c>
      <c r="S56" s="214" cm="1">
        <f t="array" ref="S56">HLOOKUP($N56,TRANSPOSE(CHOOSE({1,2,3,4,5,6},$F$3:$F$835,$B$3:$B$835,$E$3:$E$835,$C$3:$C$835,$A$3:$A$835,$D$3:$D$835)),5,0)</f>
        <v>43170</v>
      </c>
      <c r="T56" s="131" t="str">
        <f t="array" ref="T56">HLOOKUP($N56,TRANSPOSE(CHOOSE({1,2,3,4,5,6},$F$3:$F$835,$B$3:$B$835,$E$3:$E$835,$C$3:$C$835,$A$3:$A$835,$D$3:$D$835)),6,0)</f>
        <v>KA</v>
      </c>
      <c r="V56" s="22"/>
      <c r="W56" s="204"/>
    </row>
    <row r="57" spans="1:23" x14ac:dyDescent="0.35">
      <c r="A57" s="130">
        <v>42484</v>
      </c>
      <c r="B57" s="24" t="s">
        <v>295</v>
      </c>
      <c r="C57" s="24" t="s">
        <v>245</v>
      </c>
      <c r="D57" s="24" t="s">
        <v>281</v>
      </c>
      <c r="E57" s="24">
        <v>3583</v>
      </c>
      <c r="F57" s="24">
        <v>344707</v>
      </c>
      <c r="H57" s="24">
        <v>332664</v>
      </c>
      <c r="I57" s="131" t="str">
        <f t="array" ref="I57">VLOOKUP($H57,CHOOSE({1,2,3,4,5},$F$3:$F$835,$D$3:$D$835,$B$3:$B$835,$C$3:$C$835,$E$3:$E$835),2,0)</f>
        <v>KA</v>
      </c>
      <c r="J57" s="131" t="str">
        <f t="array" ref="J57">VLOOKUP($H57,CHOOSE({1,2,3,4,5},$F$3:$F$835,$D$3:$D$835,$B$3:$B$835,$C$3:$C$835,$E$3:$E$835),3,0)</f>
        <v>Ashwath</v>
      </c>
      <c r="K57" s="131" t="str">
        <f t="array" ref="K57">VLOOKUP($H57,CHOOSE({1,2,3,4,5},$F$3:$F$835,$D$3:$D$835,$B$3:$B$835,$C$3:$C$835,$E$3:$E$835),4,0)</f>
        <v>HECC</v>
      </c>
      <c r="L57" s="131">
        <f t="array" ref="L57">VLOOKUP($H57,CHOOSE({1,2,3,4,5},$F$3:$F$835,$D$3:$D$835,$B$3:$B$835,$C$3:$C$835,$E$3:$E$835),5,0)</f>
        <v>1788</v>
      </c>
      <c r="M57" s="134"/>
      <c r="N57" s="24">
        <v>332664</v>
      </c>
      <c r="O57" s="131" t="str">
        <f t="array" ref="O57">HLOOKUP($N57,TRANSPOSE(CHOOSE({1,2,3,4,5,6},$F$3:$F$835,$B$3:$B$835,$E$3:$E$835,$C$3:$C$835,$A$3:$A$835,$D$3:$D$835)),2,0)</f>
        <v>Ashwath</v>
      </c>
      <c r="P57" s="131">
        <f t="array" ref="P57">HLOOKUP($N57,TRANSPOSE(CHOOSE({1,2,3,4,5,6},$F$3:$F$835,$B$3:$B$835,$E$3:$E$835,$C$3:$C$835,$A$3:$A$835,$D$3:$D$835)),3,0)</f>
        <v>1788</v>
      </c>
      <c r="Q57" s="131" t="str">
        <f t="array" ref="Q57">HLOOKUP($N57,TRANSPOSE(CHOOSE({1,2,3,4,5,6},$F$3:$F$835,$B$3:$B$835,$E$3:$E$835,$C$3:$C$835,$A$3:$A$835,$D$3:$D$835)),4,0)</f>
        <v>HECC</v>
      </c>
      <c r="R57" s="131">
        <f t="array" ref="R57">HLOOKUP($N57,TRANSPOSE(CHOOSE({1,2,3,4,5,6},$F$3:$F$835,$B$3:$B$835,$E$3:$E$835,$C$3:$C$835,$A$3:$A$835,$D$3:$D$835)),1,0)</f>
        <v>332664</v>
      </c>
      <c r="S57" s="214" cm="1">
        <f t="array" ref="S57">HLOOKUP($N57,TRANSPOSE(CHOOSE({1,2,3,4,5,6},$F$3:$F$835,$B$3:$B$835,$E$3:$E$835,$C$3:$C$835,$A$3:$A$835,$D$3:$D$835)),5,0)</f>
        <v>43171</v>
      </c>
      <c r="T57" s="131" t="str">
        <f t="array" ref="T57">HLOOKUP($N57,TRANSPOSE(CHOOSE({1,2,3,4,5,6},$F$3:$F$835,$B$3:$B$835,$E$3:$E$835,$C$3:$C$835,$A$3:$A$835,$D$3:$D$835)),6,0)</f>
        <v>KA</v>
      </c>
      <c r="V57" s="22"/>
      <c r="W57" s="204"/>
    </row>
    <row r="58" spans="1:23" x14ac:dyDescent="0.35">
      <c r="A58" s="130">
        <v>42485</v>
      </c>
      <c r="B58" s="24" t="s">
        <v>296</v>
      </c>
      <c r="C58" s="24" t="s">
        <v>245</v>
      </c>
      <c r="D58" s="24" t="s">
        <v>281</v>
      </c>
      <c r="E58" s="24">
        <v>4266</v>
      </c>
      <c r="F58" s="24">
        <v>344710</v>
      </c>
      <c r="H58" s="24">
        <v>332666</v>
      </c>
      <c r="I58" s="131" t="str">
        <f t="array" ref="I58">VLOOKUP($H58,CHOOSE({1,2,3,4,5},$F$3:$F$835,$D$3:$D$835,$B$3:$B$835,$C$3:$C$835,$E$3:$E$835),2,0)</f>
        <v>KA</v>
      </c>
      <c r="J58" s="131" t="str">
        <f t="array" ref="J58">VLOOKUP($H58,CHOOSE({1,2,3,4,5},$F$3:$F$835,$D$3:$D$835,$B$3:$B$835,$C$3:$C$835,$E$3:$E$835),3,0)</f>
        <v>Ashwath</v>
      </c>
      <c r="K58" s="131" t="str">
        <f t="array" ref="K58">VLOOKUP($H58,CHOOSE({1,2,3,4,5},$F$3:$F$835,$D$3:$D$835,$B$3:$B$835,$C$3:$C$835,$E$3:$E$835),4,0)</f>
        <v>HECC</v>
      </c>
      <c r="L58" s="131">
        <f t="array" ref="L58">VLOOKUP($H58,CHOOSE({1,2,3,4,5},$F$3:$F$835,$D$3:$D$835,$B$3:$B$835,$C$3:$C$835,$E$3:$E$835),5,0)</f>
        <v>3275</v>
      </c>
      <c r="M58" s="134"/>
      <c r="N58" s="24">
        <v>332666</v>
      </c>
      <c r="O58" s="131" t="str">
        <f t="array" ref="O58">HLOOKUP($N58,TRANSPOSE(CHOOSE({1,2,3,4,5,6},$F$3:$F$835,$B$3:$B$835,$E$3:$E$835,$C$3:$C$835,$A$3:$A$835,$D$3:$D$835)),2,0)</f>
        <v>Ashwath</v>
      </c>
      <c r="P58" s="131">
        <f t="array" ref="P58">HLOOKUP($N58,TRANSPOSE(CHOOSE({1,2,3,4,5,6},$F$3:$F$835,$B$3:$B$835,$E$3:$E$835,$C$3:$C$835,$A$3:$A$835,$D$3:$D$835)),3,0)</f>
        <v>3275</v>
      </c>
      <c r="Q58" s="131" t="str">
        <f t="array" ref="Q58">HLOOKUP($N58,TRANSPOSE(CHOOSE({1,2,3,4,5,6},$F$3:$F$835,$B$3:$B$835,$E$3:$E$835,$C$3:$C$835,$A$3:$A$835,$D$3:$D$835)),4,0)</f>
        <v>HECC</v>
      </c>
      <c r="R58" s="131">
        <f t="array" ref="R58">HLOOKUP($N58,TRANSPOSE(CHOOSE({1,2,3,4,5,6},$F$3:$F$835,$B$3:$B$835,$E$3:$E$835,$C$3:$C$835,$A$3:$A$835,$D$3:$D$835)),1,0)</f>
        <v>332666</v>
      </c>
      <c r="S58" s="214" cm="1">
        <f t="array" ref="S58">HLOOKUP($N58,TRANSPOSE(CHOOSE({1,2,3,4,5,6},$F$3:$F$835,$B$3:$B$835,$E$3:$E$835,$C$3:$C$835,$A$3:$A$835,$D$3:$D$835)),5,0)</f>
        <v>43172</v>
      </c>
      <c r="T58" s="131" t="str">
        <f t="array" ref="T58">HLOOKUP($N58,TRANSPOSE(CHOOSE({1,2,3,4,5,6},$F$3:$F$835,$B$3:$B$835,$E$3:$E$835,$C$3:$C$835,$A$3:$A$835,$D$3:$D$835)),6,0)</f>
        <v>KA</v>
      </c>
      <c r="V58" s="22"/>
      <c r="W58" s="204"/>
    </row>
    <row r="59" spans="1:23" x14ac:dyDescent="0.35">
      <c r="A59" s="130">
        <v>42486</v>
      </c>
      <c r="B59" s="24" t="s">
        <v>296</v>
      </c>
      <c r="C59" s="24" t="s">
        <v>245</v>
      </c>
      <c r="D59" s="24" t="s">
        <v>281</v>
      </c>
      <c r="E59" s="24">
        <v>1139</v>
      </c>
      <c r="F59" s="24">
        <v>344711</v>
      </c>
      <c r="H59" s="24">
        <v>332675</v>
      </c>
      <c r="I59" s="131" t="str">
        <f t="array" ref="I59">VLOOKUP($H59,CHOOSE({1,2,3,4,5},$F$3:$F$835,$D$3:$D$835,$B$3:$B$835,$C$3:$C$835,$E$3:$E$835),2,0)</f>
        <v>KA</v>
      </c>
      <c r="J59" s="131" t="str">
        <f t="array" ref="J59">VLOOKUP($H59,CHOOSE({1,2,3,4,5},$F$3:$F$835,$D$3:$D$835,$B$3:$B$835,$C$3:$C$835,$E$3:$E$835),3,0)</f>
        <v>Ashwath</v>
      </c>
      <c r="K59" s="131" t="str">
        <f t="array" ref="K59">VLOOKUP($H59,CHOOSE({1,2,3,4,5},$F$3:$F$835,$D$3:$D$835,$B$3:$B$835,$C$3:$C$835,$E$3:$E$835),4,0)</f>
        <v>HECC</v>
      </c>
      <c r="L59" s="131">
        <f t="array" ref="L59">VLOOKUP($H59,CHOOSE({1,2,3,4,5},$F$3:$F$835,$D$3:$D$835,$B$3:$B$835,$C$3:$C$835,$E$3:$E$835),5,0)</f>
        <v>2876</v>
      </c>
      <c r="M59" s="134"/>
      <c r="N59" s="24">
        <v>332675</v>
      </c>
      <c r="O59" s="131" t="str">
        <f t="array" ref="O59">HLOOKUP($N59,TRANSPOSE(CHOOSE({1,2,3,4,5,6},$F$3:$F$835,$B$3:$B$835,$E$3:$E$835,$C$3:$C$835,$A$3:$A$835,$D$3:$D$835)),2,0)</f>
        <v>Ashwath</v>
      </c>
      <c r="P59" s="131">
        <f t="array" ref="P59">HLOOKUP($N59,TRANSPOSE(CHOOSE({1,2,3,4,5,6},$F$3:$F$835,$B$3:$B$835,$E$3:$E$835,$C$3:$C$835,$A$3:$A$835,$D$3:$D$835)),3,0)</f>
        <v>2876</v>
      </c>
      <c r="Q59" s="131" t="str">
        <f t="array" ref="Q59">HLOOKUP($N59,TRANSPOSE(CHOOSE({1,2,3,4,5,6},$F$3:$F$835,$B$3:$B$835,$E$3:$E$835,$C$3:$C$835,$A$3:$A$835,$D$3:$D$835)),4,0)</f>
        <v>HECC</v>
      </c>
      <c r="R59" s="131">
        <f t="array" ref="R59">HLOOKUP($N59,TRANSPOSE(CHOOSE({1,2,3,4,5,6},$F$3:$F$835,$B$3:$B$835,$E$3:$E$835,$C$3:$C$835,$A$3:$A$835,$D$3:$D$835)),1,0)</f>
        <v>332675</v>
      </c>
      <c r="S59" s="214" cm="1">
        <f t="array" ref="S59">HLOOKUP($N59,TRANSPOSE(CHOOSE({1,2,3,4,5,6},$F$3:$F$835,$B$3:$B$835,$E$3:$E$835,$C$3:$C$835,$A$3:$A$835,$D$3:$D$835)),5,0)</f>
        <v>43173</v>
      </c>
      <c r="T59" s="131" t="str">
        <f t="array" ref="T59">HLOOKUP($N59,TRANSPOSE(CHOOSE({1,2,3,4,5,6},$F$3:$F$835,$B$3:$B$835,$E$3:$E$835,$C$3:$C$835,$A$3:$A$835,$D$3:$D$835)),6,0)</f>
        <v>KA</v>
      </c>
      <c r="V59" s="22"/>
      <c r="W59" s="204"/>
    </row>
    <row r="60" spans="1:23" x14ac:dyDescent="0.35">
      <c r="A60" s="130">
        <v>42487</v>
      </c>
      <c r="B60" s="24" t="s">
        <v>297</v>
      </c>
      <c r="C60" s="24" t="s">
        <v>245</v>
      </c>
      <c r="D60" s="24" t="s">
        <v>281</v>
      </c>
      <c r="E60" s="24">
        <v>2210</v>
      </c>
      <c r="F60" s="24">
        <v>344712</v>
      </c>
      <c r="H60" s="24">
        <v>332677</v>
      </c>
      <c r="I60" s="131" t="str">
        <f t="array" ref="I60">VLOOKUP($H60,CHOOSE({1,2,3,4,5},$F$3:$F$835,$D$3:$D$835,$B$3:$B$835,$C$3:$C$835,$E$3:$E$835),2,0)</f>
        <v>KA</v>
      </c>
      <c r="J60" s="131" t="str">
        <f t="array" ref="J60">VLOOKUP($H60,CHOOSE({1,2,3,4,5},$F$3:$F$835,$D$3:$D$835,$B$3:$B$835,$C$3:$C$835,$E$3:$E$835),3,0)</f>
        <v>VEENA K</v>
      </c>
      <c r="K60" s="131" t="str">
        <f t="array" ref="K60">VLOOKUP($H60,CHOOSE({1,2,3,4,5},$F$3:$F$835,$D$3:$D$835,$B$3:$B$835,$C$3:$C$835,$E$3:$E$835),4,0)</f>
        <v>HECC</v>
      </c>
      <c r="L60" s="131">
        <f t="array" ref="L60">VLOOKUP($H60,CHOOSE({1,2,3,4,5},$F$3:$F$835,$D$3:$D$835,$B$3:$B$835,$C$3:$C$835,$E$3:$E$835),5,0)</f>
        <v>2197</v>
      </c>
      <c r="M60" s="134"/>
      <c r="N60" s="24">
        <v>332677</v>
      </c>
      <c r="O60" s="131" t="str">
        <f t="array" ref="O60">HLOOKUP($N60,TRANSPOSE(CHOOSE({1,2,3,4,5,6},$F$3:$F$835,$B$3:$B$835,$E$3:$E$835,$C$3:$C$835,$A$3:$A$835,$D$3:$D$835)),2,0)</f>
        <v>VEENA K</v>
      </c>
      <c r="P60" s="131">
        <f t="array" ref="P60">HLOOKUP($N60,TRANSPOSE(CHOOSE({1,2,3,4,5,6},$F$3:$F$835,$B$3:$B$835,$E$3:$E$835,$C$3:$C$835,$A$3:$A$835,$D$3:$D$835)),3,0)</f>
        <v>2197</v>
      </c>
      <c r="Q60" s="131" t="str">
        <f t="array" ref="Q60">HLOOKUP($N60,TRANSPOSE(CHOOSE({1,2,3,4,5,6},$F$3:$F$835,$B$3:$B$835,$E$3:$E$835,$C$3:$C$835,$A$3:$A$835,$D$3:$D$835)),4,0)</f>
        <v>HECC</v>
      </c>
      <c r="R60" s="131">
        <f t="array" ref="R60">HLOOKUP($N60,TRANSPOSE(CHOOSE({1,2,3,4,5,6},$F$3:$F$835,$B$3:$B$835,$E$3:$E$835,$C$3:$C$835,$A$3:$A$835,$D$3:$D$835)),1,0)</f>
        <v>332677</v>
      </c>
      <c r="S60" s="214" cm="1">
        <f t="array" ref="S60">HLOOKUP($N60,TRANSPOSE(CHOOSE({1,2,3,4,5,6},$F$3:$F$835,$B$3:$B$835,$E$3:$E$835,$C$3:$C$835,$A$3:$A$835,$D$3:$D$835)),5,0)</f>
        <v>43174</v>
      </c>
      <c r="T60" s="131" t="str">
        <f t="array" ref="T60">HLOOKUP($N60,TRANSPOSE(CHOOSE({1,2,3,4,5,6},$F$3:$F$835,$B$3:$B$835,$E$3:$E$835,$C$3:$C$835,$A$3:$A$835,$D$3:$D$835)),6,0)</f>
        <v>KA</v>
      </c>
      <c r="V60" s="22"/>
      <c r="W60" s="204"/>
    </row>
    <row r="61" spans="1:23" x14ac:dyDescent="0.35">
      <c r="A61" s="130">
        <v>42488</v>
      </c>
      <c r="B61" s="24" t="s">
        <v>297</v>
      </c>
      <c r="C61" s="24" t="s">
        <v>245</v>
      </c>
      <c r="D61" s="24" t="s">
        <v>281</v>
      </c>
      <c r="E61" s="24">
        <v>1549</v>
      </c>
      <c r="F61" s="24">
        <v>344714</v>
      </c>
      <c r="H61" s="24">
        <v>332684</v>
      </c>
      <c r="I61" s="131" t="str">
        <f t="array" ref="I61">VLOOKUP($H61,CHOOSE({1,2,3,4,5},$F$3:$F$835,$D$3:$D$835,$B$3:$B$835,$C$3:$C$835,$E$3:$E$835),2,0)</f>
        <v>KA</v>
      </c>
      <c r="J61" s="131" t="str">
        <f t="array" ref="J61">VLOOKUP($H61,CHOOSE({1,2,3,4,5},$F$3:$F$835,$D$3:$D$835,$B$3:$B$835,$C$3:$C$835,$E$3:$E$835),3,0)</f>
        <v>VEENA K</v>
      </c>
      <c r="K61" s="131" t="str">
        <f t="array" ref="K61">VLOOKUP($H61,CHOOSE({1,2,3,4,5},$F$3:$F$835,$D$3:$D$835,$B$3:$B$835,$C$3:$C$835,$E$3:$E$835),4,0)</f>
        <v>HECC</v>
      </c>
      <c r="L61" s="131">
        <f t="array" ref="L61">VLOOKUP($H61,CHOOSE({1,2,3,4,5},$F$3:$F$835,$D$3:$D$835,$B$3:$B$835,$C$3:$C$835,$E$3:$E$835),5,0)</f>
        <v>1925</v>
      </c>
      <c r="M61" s="134"/>
      <c r="N61" s="24">
        <v>332684</v>
      </c>
      <c r="O61" s="131" t="str">
        <f t="array" ref="O61">HLOOKUP($N61,TRANSPOSE(CHOOSE({1,2,3,4,5,6},$F$3:$F$835,$B$3:$B$835,$E$3:$E$835,$C$3:$C$835,$A$3:$A$835,$D$3:$D$835)),2,0)</f>
        <v>VEENA K</v>
      </c>
      <c r="P61" s="131">
        <f t="array" ref="P61">HLOOKUP($N61,TRANSPOSE(CHOOSE({1,2,3,4,5,6},$F$3:$F$835,$B$3:$B$835,$E$3:$E$835,$C$3:$C$835,$A$3:$A$835,$D$3:$D$835)),3,0)</f>
        <v>1925</v>
      </c>
      <c r="Q61" s="131" t="str">
        <f t="array" ref="Q61">HLOOKUP($N61,TRANSPOSE(CHOOSE({1,2,3,4,5,6},$F$3:$F$835,$B$3:$B$835,$E$3:$E$835,$C$3:$C$835,$A$3:$A$835,$D$3:$D$835)),4,0)</f>
        <v>HECC</v>
      </c>
      <c r="R61" s="131">
        <f t="array" ref="R61">HLOOKUP($N61,TRANSPOSE(CHOOSE({1,2,3,4,5,6},$F$3:$F$835,$B$3:$B$835,$E$3:$E$835,$C$3:$C$835,$A$3:$A$835,$D$3:$D$835)),1,0)</f>
        <v>332684</v>
      </c>
      <c r="S61" s="214" cm="1">
        <f t="array" ref="S61">HLOOKUP($N61,TRANSPOSE(CHOOSE({1,2,3,4,5,6},$F$3:$F$835,$B$3:$B$835,$E$3:$E$835,$C$3:$C$835,$A$3:$A$835,$D$3:$D$835)),5,0)</f>
        <v>43175</v>
      </c>
      <c r="T61" s="131" t="str">
        <f t="array" ref="T61">HLOOKUP($N61,TRANSPOSE(CHOOSE({1,2,3,4,5,6},$F$3:$F$835,$B$3:$B$835,$E$3:$E$835,$C$3:$C$835,$A$3:$A$835,$D$3:$D$835)),6,0)</f>
        <v>KA</v>
      </c>
      <c r="V61" s="22"/>
      <c r="W61" s="204"/>
    </row>
    <row r="62" spans="1:23" x14ac:dyDescent="0.35">
      <c r="A62" s="130">
        <v>42489</v>
      </c>
      <c r="B62" s="24" t="s">
        <v>297</v>
      </c>
      <c r="C62" s="24" t="s">
        <v>245</v>
      </c>
      <c r="D62" s="24" t="s">
        <v>281</v>
      </c>
      <c r="E62" s="24">
        <v>1100</v>
      </c>
      <c r="F62" s="24">
        <v>344716</v>
      </c>
      <c r="H62" s="24">
        <v>332696</v>
      </c>
      <c r="I62" s="131" t="str">
        <f t="array" ref="I62">VLOOKUP($H62,CHOOSE({1,2,3,4,5},$F$3:$F$835,$D$3:$D$835,$B$3:$B$835,$C$3:$C$835,$E$3:$E$835),2,0)</f>
        <v>KA</v>
      </c>
      <c r="J62" s="131" t="str">
        <f t="array" ref="J62">VLOOKUP($H62,CHOOSE({1,2,3,4,5},$F$3:$F$835,$D$3:$D$835,$B$3:$B$835,$C$3:$C$835,$E$3:$E$835),3,0)</f>
        <v>PRABHU</v>
      </c>
      <c r="K62" s="131" t="str">
        <f t="array" ref="K62">VLOOKUP($H62,CHOOSE({1,2,3,4,5},$F$3:$F$835,$D$3:$D$835,$B$3:$B$835,$C$3:$C$835,$E$3:$E$835),4,0)</f>
        <v>HECC</v>
      </c>
      <c r="L62" s="131">
        <f t="array" ref="L62">VLOOKUP($H62,CHOOSE({1,2,3,4,5},$F$3:$F$835,$D$3:$D$835,$B$3:$B$835,$C$3:$C$835,$E$3:$E$835),5,0)</f>
        <v>4886</v>
      </c>
      <c r="M62" s="134"/>
      <c r="N62" s="24">
        <v>332696</v>
      </c>
      <c r="O62" s="131" t="str">
        <f t="array" ref="O62">HLOOKUP($N62,TRANSPOSE(CHOOSE({1,2,3,4,5,6},$F$3:$F$835,$B$3:$B$835,$E$3:$E$835,$C$3:$C$835,$A$3:$A$835,$D$3:$D$835)),2,0)</f>
        <v>PRABHU</v>
      </c>
      <c r="P62" s="131">
        <f t="array" ref="P62">HLOOKUP($N62,TRANSPOSE(CHOOSE({1,2,3,4,5,6},$F$3:$F$835,$B$3:$B$835,$E$3:$E$835,$C$3:$C$835,$A$3:$A$835,$D$3:$D$835)),3,0)</f>
        <v>4886</v>
      </c>
      <c r="Q62" s="131" t="str">
        <f t="array" ref="Q62">HLOOKUP($N62,TRANSPOSE(CHOOSE({1,2,3,4,5,6},$F$3:$F$835,$B$3:$B$835,$E$3:$E$835,$C$3:$C$835,$A$3:$A$835,$D$3:$D$835)),4,0)</f>
        <v>HECC</v>
      </c>
      <c r="R62" s="131">
        <f t="array" ref="R62">HLOOKUP($N62,TRANSPOSE(CHOOSE({1,2,3,4,5,6},$F$3:$F$835,$B$3:$B$835,$E$3:$E$835,$C$3:$C$835,$A$3:$A$835,$D$3:$D$835)),1,0)</f>
        <v>332696</v>
      </c>
      <c r="S62" s="214" cm="1">
        <f t="array" ref="S62">HLOOKUP($N62,TRANSPOSE(CHOOSE({1,2,3,4,5,6},$F$3:$F$835,$B$3:$B$835,$E$3:$E$835,$C$3:$C$835,$A$3:$A$835,$D$3:$D$835)),5,0)</f>
        <v>43176</v>
      </c>
      <c r="T62" s="131" t="str">
        <f t="array" ref="T62">HLOOKUP($N62,TRANSPOSE(CHOOSE({1,2,3,4,5,6},$F$3:$F$835,$B$3:$B$835,$E$3:$E$835,$C$3:$C$835,$A$3:$A$835,$D$3:$D$835)),6,0)</f>
        <v>KA</v>
      </c>
      <c r="V62" s="22"/>
      <c r="W62" s="204"/>
    </row>
    <row r="63" spans="1:23" x14ac:dyDescent="0.35">
      <c r="A63" s="130">
        <v>42490</v>
      </c>
      <c r="B63" s="24" t="s">
        <v>298</v>
      </c>
      <c r="C63" s="24" t="s">
        <v>245</v>
      </c>
      <c r="D63" s="24" t="s">
        <v>281</v>
      </c>
      <c r="E63" s="24">
        <v>3305</v>
      </c>
      <c r="F63" s="24">
        <v>344717</v>
      </c>
      <c r="H63" s="24">
        <v>332699</v>
      </c>
      <c r="I63" s="131" t="str">
        <f t="array" ref="I63">VLOOKUP($H63,CHOOSE({1,2,3,4,5},$F$3:$F$835,$D$3:$D$835,$B$3:$B$835,$C$3:$C$835,$E$3:$E$835),2,0)</f>
        <v>KA</v>
      </c>
      <c r="J63" s="131" t="str">
        <f t="array" ref="J63">VLOOKUP($H63,CHOOSE({1,2,3,4,5},$F$3:$F$835,$D$3:$D$835,$B$3:$B$835,$C$3:$C$835,$E$3:$E$835),3,0)</f>
        <v>UDAY KU</v>
      </c>
      <c r="K63" s="131" t="str">
        <f t="array" ref="K63">VLOOKUP($H63,CHOOSE({1,2,3,4,5},$F$3:$F$835,$D$3:$D$835,$B$3:$B$835,$C$3:$C$835,$E$3:$E$835),4,0)</f>
        <v>HECC</v>
      </c>
      <c r="L63" s="131">
        <f t="array" ref="L63">VLOOKUP($H63,CHOOSE({1,2,3,4,5},$F$3:$F$835,$D$3:$D$835,$B$3:$B$835,$C$3:$C$835,$E$3:$E$835),5,0)</f>
        <v>2957</v>
      </c>
      <c r="M63" s="134"/>
      <c r="N63" s="24">
        <v>332699</v>
      </c>
      <c r="O63" s="131" t="str">
        <f t="array" ref="O63">HLOOKUP($N63,TRANSPOSE(CHOOSE({1,2,3,4,5,6},$F$3:$F$835,$B$3:$B$835,$E$3:$E$835,$C$3:$C$835,$A$3:$A$835,$D$3:$D$835)),2,0)</f>
        <v>UDAY KU</v>
      </c>
      <c r="P63" s="131">
        <f t="array" ref="P63">HLOOKUP($N63,TRANSPOSE(CHOOSE({1,2,3,4,5,6},$F$3:$F$835,$B$3:$B$835,$E$3:$E$835,$C$3:$C$835,$A$3:$A$835,$D$3:$D$835)),3,0)</f>
        <v>2957</v>
      </c>
      <c r="Q63" s="131" t="str">
        <f t="array" ref="Q63">HLOOKUP($N63,TRANSPOSE(CHOOSE({1,2,3,4,5,6},$F$3:$F$835,$B$3:$B$835,$E$3:$E$835,$C$3:$C$835,$A$3:$A$835,$D$3:$D$835)),4,0)</f>
        <v>HECC</v>
      </c>
      <c r="R63" s="131">
        <f t="array" ref="R63">HLOOKUP($N63,TRANSPOSE(CHOOSE({1,2,3,4,5,6},$F$3:$F$835,$B$3:$B$835,$E$3:$E$835,$C$3:$C$835,$A$3:$A$835,$D$3:$D$835)),1,0)</f>
        <v>332699</v>
      </c>
      <c r="S63" s="214" cm="1">
        <f t="array" ref="S63">HLOOKUP($N63,TRANSPOSE(CHOOSE({1,2,3,4,5,6},$F$3:$F$835,$B$3:$B$835,$E$3:$E$835,$C$3:$C$835,$A$3:$A$835,$D$3:$D$835)),5,0)</f>
        <v>43177</v>
      </c>
      <c r="T63" s="131" t="str">
        <f t="array" ref="T63">HLOOKUP($N63,TRANSPOSE(CHOOSE({1,2,3,4,5,6},$F$3:$F$835,$B$3:$B$835,$E$3:$E$835,$C$3:$C$835,$A$3:$A$835,$D$3:$D$835)),6,0)</f>
        <v>KA</v>
      </c>
      <c r="V63" s="22"/>
      <c r="W63" s="204"/>
    </row>
    <row r="64" spans="1:23" x14ac:dyDescent="0.35">
      <c r="A64" s="130">
        <v>42491</v>
      </c>
      <c r="B64" s="24" t="s">
        <v>298</v>
      </c>
      <c r="C64" s="24" t="s">
        <v>245</v>
      </c>
      <c r="D64" s="24" t="s">
        <v>281</v>
      </c>
      <c r="E64" s="24">
        <v>2822</v>
      </c>
      <c r="F64" s="24">
        <v>344718</v>
      </c>
      <c r="H64" s="24">
        <v>332713</v>
      </c>
      <c r="I64" s="131" t="str">
        <f t="array" ref="I64">VLOOKUP($H64,CHOOSE({1,2,3,4,5},$F$3:$F$835,$D$3:$D$835,$B$3:$B$835,$C$3:$C$835,$E$3:$E$835),2,0)</f>
        <v>KA</v>
      </c>
      <c r="J64" s="131" t="str">
        <f t="array" ref="J64">VLOOKUP($H64,CHOOSE({1,2,3,4,5},$F$3:$F$835,$D$3:$D$835,$B$3:$B$835,$C$3:$C$835,$E$3:$E$835),3,0)</f>
        <v>UDAY KU</v>
      </c>
      <c r="K64" s="131" t="str">
        <f t="array" ref="K64">VLOOKUP($H64,CHOOSE({1,2,3,4,5},$F$3:$F$835,$D$3:$D$835,$B$3:$B$835,$C$3:$C$835,$E$3:$E$835),4,0)</f>
        <v>HECC</v>
      </c>
      <c r="L64" s="131">
        <f t="array" ref="L64">VLOOKUP($H64,CHOOSE({1,2,3,4,5},$F$3:$F$835,$D$3:$D$835,$B$3:$B$835,$C$3:$C$835,$E$3:$E$835),5,0)</f>
        <v>4702</v>
      </c>
      <c r="M64" s="134"/>
      <c r="N64" s="24">
        <v>332713</v>
      </c>
      <c r="O64" s="131" t="str">
        <f t="array" ref="O64">HLOOKUP($N64,TRANSPOSE(CHOOSE({1,2,3,4,5,6},$F$3:$F$835,$B$3:$B$835,$E$3:$E$835,$C$3:$C$835,$A$3:$A$835,$D$3:$D$835)),2,0)</f>
        <v>UDAY KU</v>
      </c>
      <c r="P64" s="131">
        <f t="array" ref="P64">HLOOKUP($N64,TRANSPOSE(CHOOSE({1,2,3,4,5,6},$F$3:$F$835,$B$3:$B$835,$E$3:$E$835,$C$3:$C$835,$A$3:$A$835,$D$3:$D$835)),3,0)</f>
        <v>4702</v>
      </c>
      <c r="Q64" s="131" t="str">
        <f t="array" ref="Q64">HLOOKUP($N64,TRANSPOSE(CHOOSE({1,2,3,4,5,6},$F$3:$F$835,$B$3:$B$835,$E$3:$E$835,$C$3:$C$835,$A$3:$A$835,$D$3:$D$835)),4,0)</f>
        <v>HECC</v>
      </c>
      <c r="R64" s="131">
        <f t="array" ref="R64">HLOOKUP($N64,TRANSPOSE(CHOOSE({1,2,3,4,5,6},$F$3:$F$835,$B$3:$B$835,$E$3:$E$835,$C$3:$C$835,$A$3:$A$835,$D$3:$D$835)),1,0)</f>
        <v>332713</v>
      </c>
      <c r="S64" s="214" cm="1">
        <f t="array" ref="S64">HLOOKUP($N64,TRANSPOSE(CHOOSE({1,2,3,4,5,6},$F$3:$F$835,$B$3:$B$835,$E$3:$E$835,$C$3:$C$835,$A$3:$A$835,$D$3:$D$835)),5,0)</f>
        <v>43178</v>
      </c>
      <c r="T64" s="131" t="str">
        <f t="array" ref="T64">HLOOKUP($N64,TRANSPOSE(CHOOSE({1,2,3,4,5,6},$F$3:$F$835,$B$3:$B$835,$E$3:$E$835,$C$3:$C$835,$A$3:$A$835,$D$3:$D$835)),6,0)</f>
        <v>KA</v>
      </c>
      <c r="V64" s="22"/>
      <c r="W64" s="204"/>
    </row>
    <row r="65" spans="1:23" x14ac:dyDescent="0.35">
      <c r="A65" s="130">
        <v>42492</v>
      </c>
      <c r="B65" s="24" t="s">
        <v>298</v>
      </c>
      <c r="C65" s="24" t="s">
        <v>245</v>
      </c>
      <c r="D65" s="24" t="s">
        <v>281</v>
      </c>
      <c r="E65" s="24">
        <v>3837</v>
      </c>
      <c r="F65" s="24">
        <v>344719</v>
      </c>
      <c r="H65" s="24">
        <v>332716</v>
      </c>
      <c r="I65" s="131" t="str">
        <f t="array" ref="I65">VLOOKUP($H65,CHOOSE({1,2,3,4,5},$F$3:$F$835,$D$3:$D$835,$B$3:$B$835,$C$3:$C$835,$E$3:$E$835),2,0)</f>
        <v>KA</v>
      </c>
      <c r="J65" s="131" t="str">
        <f t="array" ref="J65">VLOOKUP($H65,CHOOSE({1,2,3,4,5},$F$3:$F$835,$D$3:$D$835,$B$3:$B$835,$C$3:$C$835,$E$3:$E$835),3,0)</f>
        <v>Harshit</v>
      </c>
      <c r="K65" s="131" t="str">
        <f t="array" ref="K65">VLOOKUP($H65,CHOOSE({1,2,3,4,5},$F$3:$F$835,$D$3:$D$835,$B$3:$B$835,$C$3:$C$835,$E$3:$E$835),4,0)</f>
        <v>HECC</v>
      </c>
      <c r="L65" s="131">
        <f t="array" ref="L65">VLOOKUP($H65,CHOOSE({1,2,3,4,5},$F$3:$F$835,$D$3:$D$835,$B$3:$B$835,$C$3:$C$835,$E$3:$E$835),5,0)</f>
        <v>4925</v>
      </c>
      <c r="M65" s="134"/>
      <c r="N65" s="24">
        <v>332716</v>
      </c>
      <c r="O65" s="131" t="str">
        <f t="array" ref="O65">HLOOKUP($N65,TRANSPOSE(CHOOSE({1,2,3,4,5,6},$F$3:$F$835,$B$3:$B$835,$E$3:$E$835,$C$3:$C$835,$A$3:$A$835,$D$3:$D$835)),2,0)</f>
        <v>Harshit</v>
      </c>
      <c r="P65" s="131">
        <f t="array" ref="P65">HLOOKUP($N65,TRANSPOSE(CHOOSE({1,2,3,4,5,6},$F$3:$F$835,$B$3:$B$835,$E$3:$E$835,$C$3:$C$835,$A$3:$A$835,$D$3:$D$835)),3,0)</f>
        <v>4925</v>
      </c>
      <c r="Q65" s="131" t="str">
        <f t="array" ref="Q65">HLOOKUP($N65,TRANSPOSE(CHOOSE({1,2,3,4,5,6},$F$3:$F$835,$B$3:$B$835,$E$3:$E$835,$C$3:$C$835,$A$3:$A$835,$D$3:$D$835)),4,0)</f>
        <v>HECC</v>
      </c>
      <c r="R65" s="131">
        <f t="array" ref="R65">HLOOKUP($N65,TRANSPOSE(CHOOSE({1,2,3,4,5,6},$F$3:$F$835,$B$3:$B$835,$E$3:$E$835,$C$3:$C$835,$A$3:$A$835,$D$3:$D$835)),1,0)</f>
        <v>332716</v>
      </c>
      <c r="S65" s="214" cm="1">
        <f t="array" ref="S65">HLOOKUP($N65,TRANSPOSE(CHOOSE({1,2,3,4,5,6},$F$3:$F$835,$B$3:$B$835,$E$3:$E$835,$C$3:$C$835,$A$3:$A$835,$D$3:$D$835)),5,0)</f>
        <v>43179</v>
      </c>
      <c r="T65" s="131" t="str">
        <f t="array" ref="T65">HLOOKUP($N65,TRANSPOSE(CHOOSE({1,2,3,4,5,6},$F$3:$F$835,$B$3:$B$835,$E$3:$E$835,$C$3:$C$835,$A$3:$A$835,$D$3:$D$835)),6,0)</f>
        <v>KA</v>
      </c>
      <c r="V65" s="22"/>
      <c r="W65" s="204"/>
    </row>
    <row r="66" spans="1:23" x14ac:dyDescent="0.35">
      <c r="A66" s="130">
        <v>42493</v>
      </c>
      <c r="B66" s="24" t="s">
        <v>299</v>
      </c>
      <c r="C66" s="24" t="s">
        <v>245</v>
      </c>
      <c r="D66" s="24" t="s">
        <v>281</v>
      </c>
      <c r="E66" s="24">
        <v>4093</v>
      </c>
      <c r="F66" s="24">
        <v>344720</v>
      </c>
      <c r="H66" s="24">
        <v>332723</v>
      </c>
      <c r="I66" s="131" t="str">
        <f t="array" ref="I66">VLOOKUP($H66,CHOOSE({1,2,3,4,5},$F$3:$F$835,$D$3:$D$835,$B$3:$B$835,$C$3:$C$835,$E$3:$E$835),2,0)</f>
        <v>KA</v>
      </c>
      <c r="J66" s="131" t="str">
        <f t="array" ref="J66">VLOOKUP($H66,CHOOSE({1,2,3,4,5},$F$3:$F$835,$D$3:$D$835,$B$3:$B$835,$C$3:$C$835,$E$3:$E$835),3,0)</f>
        <v>Harshit</v>
      </c>
      <c r="K66" s="131" t="str">
        <f t="array" ref="K66">VLOOKUP($H66,CHOOSE({1,2,3,4,5},$F$3:$F$835,$D$3:$D$835,$B$3:$B$835,$C$3:$C$835,$E$3:$E$835),4,0)</f>
        <v>HECC</v>
      </c>
      <c r="L66" s="131">
        <f t="array" ref="L66">VLOOKUP($H66,CHOOSE({1,2,3,4,5},$F$3:$F$835,$D$3:$D$835,$B$3:$B$835,$C$3:$C$835,$E$3:$E$835),5,0)</f>
        <v>2202</v>
      </c>
      <c r="M66" s="134"/>
      <c r="N66" s="24">
        <v>332723</v>
      </c>
      <c r="O66" s="131" t="str">
        <f t="array" ref="O66">HLOOKUP($N66,TRANSPOSE(CHOOSE({1,2,3,4,5,6},$F$3:$F$835,$B$3:$B$835,$E$3:$E$835,$C$3:$C$835,$A$3:$A$835,$D$3:$D$835)),2,0)</f>
        <v>Harshit</v>
      </c>
      <c r="P66" s="131">
        <f t="array" ref="P66">HLOOKUP($N66,TRANSPOSE(CHOOSE({1,2,3,4,5,6},$F$3:$F$835,$B$3:$B$835,$E$3:$E$835,$C$3:$C$835,$A$3:$A$835,$D$3:$D$835)),3,0)</f>
        <v>2202</v>
      </c>
      <c r="Q66" s="131" t="str">
        <f t="array" ref="Q66">HLOOKUP($N66,TRANSPOSE(CHOOSE({1,2,3,4,5,6},$F$3:$F$835,$B$3:$B$835,$E$3:$E$835,$C$3:$C$835,$A$3:$A$835,$D$3:$D$835)),4,0)</f>
        <v>HECC</v>
      </c>
      <c r="R66" s="131">
        <f t="array" ref="R66">HLOOKUP($N66,TRANSPOSE(CHOOSE({1,2,3,4,5,6},$F$3:$F$835,$B$3:$B$835,$E$3:$E$835,$C$3:$C$835,$A$3:$A$835,$D$3:$D$835)),1,0)</f>
        <v>332723</v>
      </c>
      <c r="S66" s="214" cm="1">
        <f t="array" ref="S66">HLOOKUP($N66,TRANSPOSE(CHOOSE({1,2,3,4,5,6},$F$3:$F$835,$B$3:$B$835,$E$3:$E$835,$C$3:$C$835,$A$3:$A$835,$D$3:$D$835)),5,0)</f>
        <v>43180</v>
      </c>
      <c r="T66" s="131" t="str">
        <f t="array" ref="T66">HLOOKUP($N66,TRANSPOSE(CHOOSE({1,2,3,4,5,6},$F$3:$F$835,$B$3:$B$835,$E$3:$E$835,$C$3:$C$835,$A$3:$A$835,$D$3:$D$835)),6,0)</f>
        <v>KA</v>
      </c>
      <c r="V66" s="22"/>
      <c r="W66" s="204"/>
    </row>
    <row r="67" spans="1:23" x14ac:dyDescent="0.35">
      <c r="A67" s="130">
        <v>42494</v>
      </c>
      <c r="B67" s="24" t="s">
        <v>299</v>
      </c>
      <c r="C67" s="24" t="s">
        <v>245</v>
      </c>
      <c r="D67" s="24" t="s">
        <v>281</v>
      </c>
      <c r="E67" s="24">
        <v>1498</v>
      </c>
      <c r="F67" s="24">
        <v>344721</v>
      </c>
      <c r="H67" s="24">
        <v>332724</v>
      </c>
      <c r="I67" s="131" t="str">
        <f t="array" ref="I67">VLOOKUP($H67,CHOOSE({1,2,3,4,5},$F$3:$F$835,$D$3:$D$835,$B$3:$B$835,$C$3:$C$835,$E$3:$E$835),2,0)</f>
        <v>KA</v>
      </c>
      <c r="J67" s="131" t="str">
        <f t="array" ref="J67">VLOOKUP($H67,CHOOSE({1,2,3,4,5},$F$3:$F$835,$D$3:$D$835,$B$3:$B$835,$C$3:$C$835,$E$3:$E$835),3,0)</f>
        <v>Harshit</v>
      </c>
      <c r="K67" s="131" t="str">
        <f t="array" ref="K67">VLOOKUP($H67,CHOOSE({1,2,3,4,5},$F$3:$F$835,$D$3:$D$835,$B$3:$B$835,$C$3:$C$835,$E$3:$E$835),4,0)</f>
        <v>HECC</v>
      </c>
      <c r="L67" s="131">
        <f t="array" ref="L67">VLOOKUP($H67,CHOOSE({1,2,3,4,5},$F$3:$F$835,$D$3:$D$835,$B$3:$B$835,$C$3:$C$835,$E$3:$E$835),5,0)</f>
        <v>1494</v>
      </c>
      <c r="M67" s="134"/>
      <c r="N67" s="24">
        <v>332724</v>
      </c>
      <c r="O67" s="131" t="str">
        <f t="array" ref="O67">HLOOKUP($N67,TRANSPOSE(CHOOSE({1,2,3,4,5,6},$F$3:$F$835,$B$3:$B$835,$E$3:$E$835,$C$3:$C$835,$A$3:$A$835,$D$3:$D$835)),2,0)</f>
        <v>Harshit</v>
      </c>
      <c r="P67" s="131">
        <f t="array" ref="P67">HLOOKUP($N67,TRANSPOSE(CHOOSE({1,2,3,4,5,6},$F$3:$F$835,$B$3:$B$835,$E$3:$E$835,$C$3:$C$835,$A$3:$A$835,$D$3:$D$835)),3,0)</f>
        <v>1494</v>
      </c>
      <c r="Q67" s="131" t="str">
        <f t="array" ref="Q67">HLOOKUP($N67,TRANSPOSE(CHOOSE({1,2,3,4,5,6},$F$3:$F$835,$B$3:$B$835,$E$3:$E$835,$C$3:$C$835,$A$3:$A$835,$D$3:$D$835)),4,0)</f>
        <v>HECC</v>
      </c>
      <c r="R67" s="131">
        <f t="array" ref="R67">HLOOKUP($N67,TRANSPOSE(CHOOSE({1,2,3,4,5,6},$F$3:$F$835,$B$3:$B$835,$E$3:$E$835,$C$3:$C$835,$A$3:$A$835,$D$3:$D$835)),1,0)</f>
        <v>332724</v>
      </c>
      <c r="S67" s="214" cm="1">
        <f t="array" ref="S67">HLOOKUP($N67,TRANSPOSE(CHOOSE({1,2,3,4,5,6},$F$3:$F$835,$B$3:$B$835,$E$3:$E$835,$C$3:$C$835,$A$3:$A$835,$D$3:$D$835)),5,0)</f>
        <v>43181</v>
      </c>
      <c r="T67" s="131" t="str">
        <f t="array" ref="T67">HLOOKUP($N67,TRANSPOSE(CHOOSE({1,2,3,4,5,6},$F$3:$F$835,$B$3:$B$835,$E$3:$E$835,$C$3:$C$835,$A$3:$A$835,$D$3:$D$835)),6,0)</f>
        <v>KA</v>
      </c>
      <c r="V67" s="22"/>
      <c r="W67" s="204"/>
    </row>
    <row r="68" spans="1:23" x14ac:dyDescent="0.35">
      <c r="A68" s="130">
        <v>42495</v>
      </c>
      <c r="B68" s="24" t="s">
        <v>300</v>
      </c>
      <c r="C68" s="24" t="s">
        <v>245</v>
      </c>
      <c r="D68" s="24" t="s">
        <v>281</v>
      </c>
      <c r="E68" s="24">
        <v>2916</v>
      </c>
      <c r="F68" s="24">
        <v>344723</v>
      </c>
      <c r="H68" s="24">
        <v>336526</v>
      </c>
      <c r="I68" s="131" t="str">
        <f t="array" ref="I68">VLOOKUP($H68,CHOOSE({1,2,3,4,5},$F$3:$F$835,$D$3:$D$835,$B$3:$B$835,$C$3:$C$835,$E$3:$E$835),2,0)</f>
        <v>KA</v>
      </c>
      <c r="J68" s="131" t="str">
        <f t="array" ref="J68">VLOOKUP($H68,CHOOSE({1,2,3,4,5},$F$3:$F$835,$D$3:$D$835,$B$3:$B$835,$C$3:$C$835,$E$3:$E$835),3,0)</f>
        <v>Padmava</v>
      </c>
      <c r="K68" s="131" t="str">
        <f t="array" ref="K68">VLOOKUP($H68,CHOOSE({1,2,3,4,5},$F$3:$F$835,$D$3:$D$835,$B$3:$B$835,$C$3:$C$835,$E$3:$E$835),4,0)</f>
        <v>HECC</v>
      </c>
      <c r="L68" s="131">
        <f t="array" ref="L68">VLOOKUP($H68,CHOOSE({1,2,3,4,5},$F$3:$F$835,$D$3:$D$835,$B$3:$B$835,$C$3:$C$835,$E$3:$E$835),5,0)</f>
        <v>2391</v>
      </c>
      <c r="M68" s="134"/>
      <c r="N68" s="24">
        <v>336526</v>
      </c>
      <c r="O68" s="131" t="str">
        <f t="array" ref="O68">HLOOKUP($N68,TRANSPOSE(CHOOSE({1,2,3,4,5,6},$F$3:$F$835,$B$3:$B$835,$E$3:$E$835,$C$3:$C$835,$A$3:$A$835,$D$3:$D$835)),2,0)</f>
        <v>Padmava</v>
      </c>
      <c r="P68" s="131">
        <f t="array" ref="P68">HLOOKUP($N68,TRANSPOSE(CHOOSE({1,2,3,4,5,6},$F$3:$F$835,$B$3:$B$835,$E$3:$E$835,$C$3:$C$835,$A$3:$A$835,$D$3:$D$835)),3,0)</f>
        <v>2391</v>
      </c>
      <c r="Q68" s="131" t="str">
        <f t="array" ref="Q68">HLOOKUP($N68,TRANSPOSE(CHOOSE({1,2,3,4,5,6},$F$3:$F$835,$B$3:$B$835,$E$3:$E$835,$C$3:$C$835,$A$3:$A$835,$D$3:$D$835)),4,0)</f>
        <v>HECC</v>
      </c>
      <c r="R68" s="131">
        <f t="array" ref="R68">HLOOKUP($N68,TRANSPOSE(CHOOSE({1,2,3,4,5,6},$F$3:$F$835,$B$3:$B$835,$E$3:$E$835,$C$3:$C$835,$A$3:$A$835,$D$3:$D$835)),1,0)</f>
        <v>336526</v>
      </c>
      <c r="S68" s="214" cm="1">
        <f t="array" ref="S68">HLOOKUP($N68,TRANSPOSE(CHOOSE({1,2,3,4,5,6},$F$3:$F$835,$B$3:$B$835,$E$3:$E$835,$C$3:$C$835,$A$3:$A$835,$D$3:$D$835)),5,0)</f>
        <v>43182</v>
      </c>
      <c r="T68" s="131" t="str">
        <f t="array" ref="T68">HLOOKUP($N68,TRANSPOSE(CHOOSE({1,2,3,4,5,6},$F$3:$F$835,$B$3:$B$835,$E$3:$E$835,$C$3:$C$835,$A$3:$A$835,$D$3:$D$835)),6,0)</f>
        <v>KA</v>
      </c>
      <c r="V68" s="22"/>
      <c r="W68" s="204"/>
    </row>
    <row r="69" spans="1:23" x14ac:dyDescent="0.35">
      <c r="A69" s="130">
        <v>42496</v>
      </c>
      <c r="B69" s="24" t="s">
        <v>300</v>
      </c>
      <c r="C69" s="24" t="s">
        <v>245</v>
      </c>
      <c r="D69" s="24" t="s">
        <v>281</v>
      </c>
      <c r="E69" s="24">
        <v>1205</v>
      </c>
      <c r="F69" s="24">
        <v>344724</v>
      </c>
      <c r="H69" s="24">
        <v>336549</v>
      </c>
      <c r="I69" s="131" t="str">
        <f t="array" ref="I69">VLOOKUP($H69,CHOOSE({1,2,3,4,5},$F$3:$F$835,$D$3:$D$835,$B$3:$B$835,$C$3:$C$835,$E$3:$E$835),2,0)</f>
        <v>KA</v>
      </c>
      <c r="J69" s="131" t="str">
        <f t="array" ref="J69">VLOOKUP($H69,CHOOSE({1,2,3,4,5},$F$3:$F$835,$D$3:$D$835,$B$3:$B$835,$C$3:$C$835,$E$3:$E$835),3,0)</f>
        <v>ROHITH</v>
      </c>
      <c r="K69" s="131" t="str">
        <f t="array" ref="K69">VLOOKUP($H69,CHOOSE({1,2,3,4,5},$F$3:$F$835,$D$3:$D$835,$B$3:$B$835,$C$3:$C$835,$E$3:$E$835),4,0)</f>
        <v>HECC</v>
      </c>
      <c r="L69" s="131">
        <f t="array" ref="L69">VLOOKUP($H69,CHOOSE({1,2,3,4,5},$F$3:$F$835,$D$3:$D$835,$B$3:$B$835,$C$3:$C$835,$E$3:$E$835),5,0)</f>
        <v>2752</v>
      </c>
      <c r="M69" s="134"/>
      <c r="N69" s="24">
        <v>336549</v>
      </c>
      <c r="O69" s="131" t="str">
        <f t="array" ref="O69">HLOOKUP($N69,TRANSPOSE(CHOOSE({1,2,3,4,5,6},$F$3:$F$835,$B$3:$B$835,$E$3:$E$835,$C$3:$C$835,$A$3:$A$835,$D$3:$D$835)),2,0)</f>
        <v>ROHITH</v>
      </c>
      <c r="P69" s="131">
        <f t="array" ref="P69">HLOOKUP($N69,TRANSPOSE(CHOOSE({1,2,3,4,5,6},$F$3:$F$835,$B$3:$B$835,$E$3:$E$835,$C$3:$C$835,$A$3:$A$835,$D$3:$D$835)),3,0)</f>
        <v>2752</v>
      </c>
      <c r="Q69" s="131" t="str">
        <f t="array" ref="Q69">HLOOKUP($N69,TRANSPOSE(CHOOSE({1,2,3,4,5,6},$F$3:$F$835,$B$3:$B$835,$E$3:$E$835,$C$3:$C$835,$A$3:$A$835,$D$3:$D$835)),4,0)</f>
        <v>HECC</v>
      </c>
      <c r="R69" s="131">
        <f t="array" ref="R69">HLOOKUP($N69,TRANSPOSE(CHOOSE({1,2,3,4,5,6},$F$3:$F$835,$B$3:$B$835,$E$3:$E$835,$C$3:$C$835,$A$3:$A$835,$D$3:$D$835)),1,0)</f>
        <v>336549</v>
      </c>
      <c r="S69" s="214" cm="1">
        <f t="array" ref="S69">HLOOKUP($N69,TRANSPOSE(CHOOSE({1,2,3,4,5,6},$F$3:$F$835,$B$3:$B$835,$E$3:$E$835,$C$3:$C$835,$A$3:$A$835,$D$3:$D$835)),5,0)</f>
        <v>43183</v>
      </c>
      <c r="T69" s="131" t="str">
        <f t="array" ref="T69">HLOOKUP($N69,TRANSPOSE(CHOOSE({1,2,3,4,5,6},$F$3:$F$835,$B$3:$B$835,$E$3:$E$835,$C$3:$C$835,$A$3:$A$835,$D$3:$D$835)),6,0)</f>
        <v>KA</v>
      </c>
      <c r="V69" s="22"/>
      <c r="W69" s="204"/>
    </row>
    <row r="70" spans="1:23" x14ac:dyDescent="0.35">
      <c r="A70" s="130">
        <v>42497</v>
      </c>
      <c r="B70" s="24" t="s">
        <v>300</v>
      </c>
      <c r="C70" s="24" t="s">
        <v>245</v>
      </c>
      <c r="D70" s="24" t="s">
        <v>281</v>
      </c>
      <c r="E70" s="24">
        <v>3393</v>
      </c>
      <c r="F70" s="24">
        <v>344725</v>
      </c>
      <c r="H70" s="24">
        <v>336572</v>
      </c>
      <c r="I70" s="131" t="str">
        <f t="array" ref="I70">VLOOKUP($H70,CHOOSE({1,2,3,4,5},$F$3:$F$835,$D$3:$D$835,$B$3:$B$835,$C$3:$C$835,$E$3:$E$835),2,0)</f>
        <v>KA</v>
      </c>
      <c r="J70" s="131" t="str">
        <f t="array" ref="J70">VLOOKUP($H70,CHOOSE({1,2,3,4,5},$F$3:$F$835,$D$3:$D$835,$B$3:$B$835,$C$3:$C$835,$E$3:$E$835),3,0)</f>
        <v>ROHITH</v>
      </c>
      <c r="K70" s="131" t="str">
        <f t="array" ref="K70">VLOOKUP($H70,CHOOSE({1,2,3,4,5},$F$3:$F$835,$D$3:$D$835,$B$3:$B$835,$C$3:$C$835,$E$3:$E$835),4,0)</f>
        <v>HECC</v>
      </c>
      <c r="L70" s="131">
        <f t="array" ref="L70">VLOOKUP($H70,CHOOSE({1,2,3,4,5},$F$3:$F$835,$D$3:$D$835,$B$3:$B$835,$C$3:$C$835,$E$3:$E$835),5,0)</f>
        <v>1103</v>
      </c>
      <c r="M70" s="134"/>
      <c r="N70" s="24">
        <v>336572</v>
      </c>
      <c r="O70" s="131" t="str">
        <f t="array" ref="O70">HLOOKUP($N70,TRANSPOSE(CHOOSE({1,2,3,4,5,6},$F$3:$F$835,$B$3:$B$835,$E$3:$E$835,$C$3:$C$835,$A$3:$A$835,$D$3:$D$835)),2,0)</f>
        <v>ROHITH</v>
      </c>
      <c r="P70" s="131">
        <f t="array" ref="P70">HLOOKUP($N70,TRANSPOSE(CHOOSE({1,2,3,4,5,6},$F$3:$F$835,$B$3:$B$835,$E$3:$E$835,$C$3:$C$835,$A$3:$A$835,$D$3:$D$835)),3,0)</f>
        <v>1103</v>
      </c>
      <c r="Q70" s="131" t="str">
        <f t="array" ref="Q70">HLOOKUP($N70,TRANSPOSE(CHOOSE({1,2,3,4,5,6},$F$3:$F$835,$B$3:$B$835,$E$3:$E$835,$C$3:$C$835,$A$3:$A$835,$D$3:$D$835)),4,0)</f>
        <v>HECC</v>
      </c>
      <c r="R70" s="131">
        <f t="array" ref="R70">HLOOKUP($N70,TRANSPOSE(CHOOSE({1,2,3,4,5,6},$F$3:$F$835,$B$3:$B$835,$E$3:$E$835,$C$3:$C$835,$A$3:$A$835,$D$3:$D$835)),1,0)</f>
        <v>336572</v>
      </c>
      <c r="S70" s="214" cm="1">
        <f t="array" ref="S70">HLOOKUP($N70,TRANSPOSE(CHOOSE({1,2,3,4,5,6},$F$3:$F$835,$B$3:$B$835,$E$3:$E$835,$C$3:$C$835,$A$3:$A$835,$D$3:$D$835)),5,0)</f>
        <v>43184</v>
      </c>
      <c r="T70" s="131" t="str">
        <f t="array" ref="T70">HLOOKUP($N70,TRANSPOSE(CHOOSE({1,2,3,4,5,6},$F$3:$F$835,$B$3:$B$835,$E$3:$E$835,$C$3:$C$835,$A$3:$A$835,$D$3:$D$835)),6,0)</f>
        <v>KA</v>
      </c>
      <c r="V70" s="22"/>
      <c r="W70" s="204"/>
    </row>
    <row r="71" spans="1:23" x14ac:dyDescent="0.35">
      <c r="A71" s="130">
        <v>42498</v>
      </c>
      <c r="B71" s="24" t="s">
        <v>301</v>
      </c>
      <c r="C71" s="24" t="s">
        <v>245</v>
      </c>
      <c r="D71" s="24" t="s">
        <v>281</v>
      </c>
      <c r="E71" s="24">
        <v>4651</v>
      </c>
      <c r="F71" s="24">
        <v>344726</v>
      </c>
      <c r="H71" s="24">
        <v>336611</v>
      </c>
      <c r="I71" s="131" t="str">
        <f t="array" ref="I71">VLOOKUP($H71,CHOOSE({1,2,3,4,5},$F$3:$F$835,$D$3:$D$835,$B$3:$B$835,$C$3:$C$835,$E$3:$E$835),2,0)</f>
        <v>KA</v>
      </c>
      <c r="J71" s="131" t="str">
        <f t="array" ref="J71">VLOOKUP($H71,CHOOSE({1,2,3,4,5},$F$3:$F$835,$D$3:$D$835,$B$3:$B$835,$C$3:$C$835,$E$3:$E$835),3,0)</f>
        <v>ROHITH</v>
      </c>
      <c r="K71" s="131" t="str">
        <f t="array" ref="K71">VLOOKUP($H71,CHOOSE({1,2,3,4,5},$F$3:$F$835,$D$3:$D$835,$B$3:$B$835,$C$3:$C$835,$E$3:$E$835),4,0)</f>
        <v>HECC</v>
      </c>
      <c r="L71" s="131">
        <f t="array" ref="L71">VLOOKUP($H71,CHOOSE({1,2,3,4,5},$F$3:$F$835,$D$3:$D$835,$B$3:$B$835,$C$3:$C$835,$E$3:$E$835),5,0)</f>
        <v>1371</v>
      </c>
      <c r="M71" s="134"/>
      <c r="N71" s="24">
        <v>336611</v>
      </c>
      <c r="O71" s="131" t="str">
        <f t="array" ref="O71">HLOOKUP($N71,TRANSPOSE(CHOOSE({1,2,3,4,5,6},$F$3:$F$835,$B$3:$B$835,$E$3:$E$835,$C$3:$C$835,$A$3:$A$835,$D$3:$D$835)),2,0)</f>
        <v>ROHITH</v>
      </c>
      <c r="P71" s="131">
        <f t="array" ref="P71">HLOOKUP($N71,TRANSPOSE(CHOOSE({1,2,3,4,5,6},$F$3:$F$835,$B$3:$B$835,$E$3:$E$835,$C$3:$C$835,$A$3:$A$835,$D$3:$D$835)),3,0)</f>
        <v>1371</v>
      </c>
      <c r="Q71" s="131" t="str">
        <f t="array" ref="Q71">HLOOKUP($N71,TRANSPOSE(CHOOSE({1,2,3,4,5,6},$F$3:$F$835,$B$3:$B$835,$E$3:$E$835,$C$3:$C$835,$A$3:$A$835,$D$3:$D$835)),4,0)</f>
        <v>HECC</v>
      </c>
      <c r="R71" s="131">
        <f t="array" ref="R71">HLOOKUP($N71,TRANSPOSE(CHOOSE({1,2,3,4,5,6},$F$3:$F$835,$B$3:$B$835,$E$3:$E$835,$C$3:$C$835,$A$3:$A$835,$D$3:$D$835)),1,0)</f>
        <v>336611</v>
      </c>
      <c r="S71" s="214" cm="1">
        <f t="array" ref="S71">HLOOKUP($N71,TRANSPOSE(CHOOSE({1,2,3,4,5,6},$F$3:$F$835,$B$3:$B$835,$E$3:$E$835,$C$3:$C$835,$A$3:$A$835,$D$3:$D$835)),5,0)</f>
        <v>43185</v>
      </c>
      <c r="T71" s="131" t="str">
        <f t="array" ref="T71">HLOOKUP($N71,TRANSPOSE(CHOOSE({1,2,3,4,5,6},$F$3:$F$835,$B$3:$B$835,$E$3:$E$835,$C$3:$C$835,$A$3:$A$835,$D$3:$D$835)),6,0)</f>
        <v>KA</v>
      </c>
      <c r="V71" s="22"/>
      <c r="W71" s="204"/>
    </row>
    <row r="72" spans="1:23" x14ac:dyDescent="0.35">
      <c r="A72" s="130">
        <v>42499</v>
      </c>
      <c r="B72" s="24" t="s">
        <v>301</v>
      </c>
      <c r="C72" s="24" t="s">
        <v>245</v>
      </c>
      <c r="D72" s="24" t="s">
        <v>281</v>
      </c>
      <c r="E72" s="24">
        <v>2295</v>
      </c>
      <c r="F72" s="24">
        <v>344727</v>
      </c>
      <c r="H72" s="24">
        <v>324950</v>
      </c>
      <c r="I72" s="131" t="str">
        <f t="array" ref="I72">VLOOKUP($H72,CHOOSE({1,2,3,4,5},$F$3:$F$835,$D$3:$D$835,$B$3:$B$835,$C$3:$C$835,$E$3:$E$835),2,0)</f>
        <v>KA</v>
      </c>
      <c r="J72" s="131" t="str">
        <f t="array" ref="J72">VLOOKUP($H72,CHOOSE({1,2,3,4,5},$F$3:$F$835,$D$3:$D$835,$B$3:$B$835,$C$3:$C$835,$E$3:$E$835),3,0)</f>
        <v>SANJAY</v>
      </c>
      <c r="K72" s="131" t="str">
        <f t="array" ref="K72">VLOOKUP($H72,CHOOSE({1,2,3,4,5},$F$3:$F$835,$D$3:$D$835,$B$3:$B$835,$C$3:$C$835,$E$3:$E$835),4,0)</f>
        <v>HECC</v>
      </c>
      <c r="L72" s="131">
        <f t="array" ref="L72">VLOOKUP($H72,CHOOSE({1,2,3,4,5},$F$3:$F$835,$D$3:$D$835,$B$3:$B$835,$C$3:$C$835,$E$3:$E$835),5,0)</f>
        <v>3689</v>
      </c>
      <c r="M72" s="134"/>
      <c r="N72" s="24">
        <v>324950</v>
      </c>
      <c r="O72" s="131" t="str">
        <f t="array" ref="O72">HLOOKUP($N72,TRANSPOSE(CHOOSE({1,2,3,4,5,6},$F$3:$F$835,$B$3:$B$835,$E$3:$E$835,$C$3:$C$835,$A$3:$A$835,$D$3:$D$835)),2,0)</f>
        <v>SANJAY</v>
      </c>
      <c r="P72" s="131">
        <f t="array" ref="P72">HLOOKUP($N72,TRANSPOSE(CHOOSE({1,2,3,4,5,6},$F$3:$F$835,$B$3:$B$835,$E$3:$E$835,$C$3:$C$835,$A$3:$A$835,$D$3:$D$835)),3,0)</f>
        <v>3689</v>
      </c>
      <c r="Q72" s="131" t="str">
        <f t="array" ref="Q72">HLOOKUP($N72,TRANSPOSE(CHOOSE({1,2,3,4,5,6},$F$3:$F$835,$B$3:$B$835,$E$3:$E$835,$C$3:$C$835,$A$3:$A$835,$D$3:$D$835)),4,0)</f>
        <v>HECC</v>
      </c>
      <c r="R72" s="131">
        <f t="array" ref="R72">HLOOKUP($N72,TRANSPOSE(CHOOSE({1,2,3,4,5,6},$F$3:$F$835,$B$3:$B$835,$E$3:$E$835,$C$3:$C$835,$A$3:$A$835,$D$3:$D$835)),1,0)</f>
        <v>324950</v>
      </c>
      <c r="S72" s="214" cm="1">
        <f t="array" ref="S72">HLOOKUP($N72,TRANSPOSE(CHOOSE({1,2,3,4,5,6},$F$3:$F$835,$B$3:$B$835,$E$3:$E$835,$C$3:$C$835,$A$3:$A$835,$D$3:$D$835)),5,0)</f>
        <v>43186</v>
      </c>
      <c r="T72" s="131" t="str">
        <f t="array" ref="T72">HLOOKUP($N72,TRANSPOSE(CHOOSE({1,2,3,4,5,6},$F$3:$F$835,$B$3:$B$835,$E$3:$E$835,$C$3:$C$835,$A$3:$A$835,$D$3:$D$835)),6,0)</f>
        <v>KA</v>
      </c>
      <c r="V72" s="22"/>
      <c r="W72" s="204"/>
    </row>
    <row r="73" spans="1:23" x14ac:dyDescent="0.35">
      <c r="A73" s="130">
        <v>42500</v>
      </c>
      <c r="B73" s="24" t="s">
        <v>301</v>
      </c>
      <c r="C73" s="24" t="s">
        <v>245</v>
      </c>
      <c r="D73" s="24" t="s">
        <v>281</v>
      </c>
      <c r="E73" s="24">
        <v>1400</v>
      </c>
      <c r="F73" s="24">
        <v>344728</v>
      </c>
      <c r="H73" s="24">
        <v>324951</v>
      </c>
      <c r="I73" s="131" t="str">
        <f t="array" ref="I73">VLOOKUP($H73,CHOOSE({1,2,3,4,5},$F$3:$F$835,$D$3:$D$835,$B$3:$B$835,$C$3:$C$835,$E$3:$E$835),2,0)</f>
        <v>KA</v>
      </c>
      <c r="J73" s="131" t="str">
        <f t="array" ref="J73">VLOOKUP($H73,CHOOSE({1,2,3,4,5},$F$3:$F$835,$D$3:$D$835,$B$3:$B$835,$C$3:$C$835,$E$3:$E$835),3,0)</f>
        <v>SANJAY</v>
      </c>
      <c r="K73" s="131" t="str">
        <f t="array" ref="K73">VLOOKUP($H73,CHOOSE({1,2,3,4,5},$F$3:$F$835,$D$3:$D$835,$B$3:$B$835,$C$3:$C$835,$E$3:$E$835),4,0)</f>
        <v>HECC</v>
      </c>
      <c r="L73" s="131">
        <f t="array" ref="L73">VLOOKUP($H73,CHOOSE({1,2,3,4,5},$F$3:$F$835,$D$3:$D$835,$B$3:$B$835,$C$3:$C$835,$E$3:$E$835),5,0)</f>
        <v>2982</v>
      </c>
      <c r="M73" s="134"/>
      <c r="N73" s="24">
        <v>324951</v>
      </c>
      <c r="O73" s="131" t="str">
        <f t="array" ref="O73">HLOOKUP($N73,TRANSPOSE(CHOOSE({1,2,3,4,5,6},$F$3:$F$835,$B$3:$B$835,$E$3:$E$835,$C$3:$C$835,$A$3:$A$835,$D$3:$D$835)),2,0)</f>
        <v>SANJAY</v>
      </c>
      <c r="P73" s="131">
        <f t="array" ref="P73">HLOOKUP($N73,TRANSPOSE(CHOOSE({1,2,3,4,5,6},$F$3:$F$835,$B$3:$B$835,$E$3:$E$835,$C$3:$C$835,$A$3:$A$835,$D$3:$D$835)),3,0)</f>
        <v>2982</v>
      </c>
      <c r="Q73" s="131" t="str">
        <f t="array" ref="Q73">HLOOKUP($N73,TRANSPOSE(CHOOSE({1,2,3,4,5,6},$F$3:$F$835,$B$3:$B$835,$E$3:$E$835,$C$3:$C$835,$A$3:$A$835,$D$3:$D$835)),4,0)</f>
        <v>HECC</v>
      </c>
      <c r="R73" s="131">
        <f t="array" ref="R73">HLOOKUP($N73,TRANSPOSE(CHOOSE({1,2,3,4,5,6},$F$3:$F$835,$B$3:$B$835,$E$3:$E$835,$C$3:$C$835,$A$3:$A$835,$D$3:$D$835)),1,0)</f>
        <v>324951</v>
      </c>
      <c r="S73" s="214" cm="1">
        <f t="array" ref="S73">HLOOKUP($N73,TRANSPOSE(CHOOSE({1,2,3,4,5,6},$F$3:$F$835,$B$3:$B$835,$E$3:$E$835,$C$3:$C$835,$A$3:$A$835,$D$3:$D$835)),5,0)</f>
        <v>43187</v>
      </c>
      <c r="T73" s="131" t="str">
        <f t="array" ref="T73">HLOOKUP($N73,TRANSPOSE(CHOOSE({1,2,3,4,5,6},$F$3:$F$835,$B$3:$B$835,$E$3:$E$835,$C$3:$C$835,$A$3:$A$835,$D$3:$D$835)),6,0)</f>
        <v>KA</v>
      </c>
      <c r="V73" s="22"/>
      <c r="W73" s="204"/>
    </row>
    <row r="74" spans="1:23" x14ac:dyDescent="0.35">
      <c r="A74" s="130">
        <v>42501</v>
      </c>
      <c r="B74" s="24" t="s">
        <v>302</v>
      </c>
      <c r="C74" s="24" t="s">
        <v>245</v>
      </c>
      <c r="D74" s="24" t="s">
        <v>281</v>
      </c>
      <c r="E74" s="24">
        <v>3600</v>
      </c>
      <c r="F74" s="24">
        <v>344729</v>
      </c>
      <c r="H74" s="24">
        <v>324953</v>
      </c>
      <c r="I74" s="131" t="str">
        <f t="array" ref="I74">VLOOKUP($H74,CHOOSE({1,2,3,4,5},$F$3:$F$835,$D$3:$D$835,$B$3:$B$835,$C$3:$C$835,$E$3:$E$835),2,0)</f>
        <v>KL</v>
      </c>
      <c r="J74" s="131" t="str">
        <f t="array" ref="J74">VLOOKUP($H74,CHOOSE({1,2,3,4,5},$F$3:$F$835,$D$3:$D$835,$B$3:$B$835,$C$3:$C$835,$E$3:$E$835),3,0)</f>
        <v>Jeevitha T</v>
      </c>
      <c r="K74" s="131" t="str">
        <f t="array" ref="K74">VLOOKUP($H74,CHOOSE({1,2,3,4,5},$F$3:$F$835,$D$3:$D$835,$B$3:$B$835,$C$3:$C$835,$E$3:$E$835),4,0)</f>
        <v>HECC</v>
      </c>
      <c r="L74" s="131">
        <f t="array" ref="L74">VLOOKUP($H74,CHOOSE({1,2,3,4,5},$F$3:$F$835,$D$3:$D$835,$B$3:$B$835,$C$3:$C$835,$E$3:$E$835),5,0)</f>
        <v>3818</v>
      </c>
      <c r="M74" s="134"/>
      <c r="N74" s="24">
        <v>324953</v>
      </c>
      <c r="O74" s="131" t="str">
        <f t="array" ref="O74">HLOOKUP($N74,TRANSPOSE(CHOOSE({1,2,3,4,5,6},$F$3:$F$835,$B$3:$B$835,$E$3:$E$835,$C$3:$C$835,$A$3:$A$835,$D$3:$D$835)),2,0)</f>
        <v>Jeevitha T</v>
      </c>
      <c r="P74" s="131">
        <f t="array" ref="P74">HLOOKUP($N74,TRANSPOSE(CHOOSE({1,2,3,4,5,6},$F$3:$F$835,$B$3:$B$835,$E$3:$E$835,$C$3:$C$835,$A$3:$A$835,$D$3:$D$835)),3,0)</f>
        <v>3818</v>
      </c>
      <c r="Q74" s="131" t="str">
        <f t="array" ref="Q74">HLOOKUP($N74,TRANSPOSE(CHOOSE({1,2,3,4,5,6},$F$3:$F$835,$B$3:$B$835,$E$3:$E$835,$C$3:$C$835,$A$3:$A$835,$D$3:$D$835)),4,0)</f>
        <v>HECC</v>
      </c>
      <c r="R74" s="131">
        <f t="array" ref="R74">HLOOKUP($N74,TRANSPOSE(CHOOSE({1,2,3,4,5,6},$F$3:$F$835,$B$3:$B$835,$E$3:$E$835,$C$3:$C$835,$A$3:$A$835,$D$3:$D$835)),1,0)</f>
        <v>324953</v>
      </c>
      <c r="S74" s="214" cm="1">
        <f t="array" ref="S74">HLOOKUP($N74,TRANSPOSE(CHOOSE({1,2,3,4,5,6},$F$3:$F$835,$B$3:$B$835,$E$3:$E$835,$C$3:$C$835,$A$3:$A$835,$D$3:$D$835)),5,0)</f>
        <v>43188</v>
      </c>
      <c r="T74" s="131" t="str">
        <f t="array" ref="T74">HLOOKUP($N74,TRANSPOSE(CHOOSE({1,2,3,4,5,6},$F$3:$F$835,$B$3:$B$835,$E$3:$E$835,$C$3:$C$835,$A$3:$A$835,$D$3:$D$835)),6,0)</f>
        <v>KL</v>
      </c>
      <c r="V74" s="22"/>
      <c r="W74" s="204"/>
    </row>
    <row r="75" spans="1:23" x14ac:dyDescent="0.35">
      <c r="A75" s="130">
        <v>42502</v>
      </c>
      <c r="B75" s="24" t="s">
        <v>302</v>
      </c>
      <c r="C75" s="24" t="s">
        <v>245</v>
      </c>
      <c r="D75" s="24" t="s">
        <v>281</v>
      </c>
      <c r="E75" s="24">
        <v>1361</v>
      </c>
      <c r="F75" s="24">
        <v>344733</v>
      </c>
      <c r="H75" s="24">
        <v>324957</v>
      </c>
      <c r="I75" s="131" t="str">
        <f t="array" ref="I75">VLOOKUP($H75,CHOOSE({1,2,3,4,5},$F$3:$F$835,$D$3:$D$835,$B$3:$B$835,$C$3:$C$835,$E$3:$E$835),2,0)</f>
        <v>KL</v>
      </c>
      <c r="J75" s="131" t="str">
        <f t="array" ref="J75">VLOOKUP($H75,CHOOSE({1,2,3,4,5},$F$3:$F$835,$D$3:$D$835,$B$3:$B$835,$C$3:$C$835,$E$3:$E$835),3,0)</f>
        <v>jerin john jacob</v>
      </c>
      <c r="K75" s="131" t="str">
        <f t="array" ref="K75">VLOOKUP($H75,CHOOSE({1,2,3,4,5},$F$3:$F$835,$D$3:$D$835,$B$3:$B$835,$C$3:$C$835,$E$3:$E$835),4,0)</f>
        <v>HECC</v>
      </c>
      <c r="L75" s="131">
        <f t="array" ref="L75">VLOOKUP($H75,CHOOSE({1,2,3,4,5},$F$3:$F$835,$D$3:$D$835,$B$3:$B$835,$C$3:$C$835,$E$3:$E$835),5,0)</f>
        <v>2540</v>
      </c>
      <c r="M75" s="134"/>
      <c r="N75" s="24">
        <v>324957</v>
      </c>
      <c r="O75" s="131" t="str">
        <f t="array" ref="O75">HLOOKUP($N75,TRANSPOSE(CHOOSE({1,2,3,4,5,6},$F$3:$F$835,$B$3:$B$835,$E$3:$E$835,$C$3:$C$835,$A$3:$A$835,$D$3:$D$835)),2,0)</f>
        <v>jerin john jacob</v>
      </c>
      <c r="P75" s="131">
        <f t="array" ref="P75">HLOOKUP($N75,TRANSPOSE(CHOOSE({1,2,3,4,5,6},$F$3:$F$835,$B$3:$B$835,$E$3:$E$835,$C$3:$C$835,$A$3:$A$835,$D$3:$D$835)),3,0)</f>
        <v>2540</v>
      </c>
      <c r="Q75" s="131" t="str">
        <f t="array" ref="Q75">HLOOKUP($N75,TRANSPOSE(CHOOSE({1,2,3,4,5,6},$F$3:$F$835,$B$3:$B$835,$E$3:$E$835,$C$3:$C$835,$A$3:$A$835,$D$3:$D$835)),4,0)</f>
        <v>HECC</v>
      </c>
      <c r="R75" s="131">
        <f t="array" ref="R75">HLOOKUP($N75,TRANSPOSE(CHOOSE({1,2,3,4,5,6},$F$3:$F$835,$B$3:$B$835,$E$3:$E$835,$C$3:$C$835,$A$3:$A$835,$D$3:$D$835)),1,0)</f>
        <v>324957</v>
      </c>
      <c r="S75" s="214" cm="1">
        <f t="array" ref="S75">HLOOKUP($N75,TRANSPOSE(CHOOSE({1,2,3,4,5,6},$F$3:$F$835,$B$3:$B$835,$E$3:$E$835,$C$3:$C$835,$A$3:$A$835,$D$3:$D$835)),5,0)</f>
        <v>43189</v>
      </c>
      <c r="T75" s="131" t="str">
        <f t="array" ref="T75">HLOOKUP($N75,TRANSPOSE(CHOOSE({1,2,3,4,5,6},$F$3:$F$835,$B$3:$B$835,$E$3:$E$835,$C$3:$C$835,$A$3:$A$835,$D$3:$D$835)),6,0)</f>
        <v>KL</v>
      </c>
      <c r="V75" s="22"/>
      <c r="W75" s="204"/>
    </row>
    <row r="76" spans="1:23" x14ac:dyDescent="0.35">
      <c r="A76" s="130">
        <v>42503</v>
      </c>
      <c r="B76" s="24" t="s">
        <v>303</v>
      </c>
      <c r="C76" s="24" t="s">
        <v>245</v>
      </c>
      <c r="D76" s="24" t="s">
        <v>281</v>
      </c>
      <c r="E76" s="24">
        <v>2951</v>
      </c>
      <c r="F76" s="24">
        <v>344734</v>
      </c>
      <c r="H76" s="24">
        <v>324958</v>
      </c>
      <c r="I76" s="131" t="str">
        <f t="array" ref="I76">VLOOKUP($H76,CHOOSE({1,2,3,4,5},$F$3:$F$835,$D$3:$D$835,$B$3:$B$835,$C$3:$C$835,$E$3:$E$835),2,0)</f>
        <v>KL</v>
      </c>
      <c r="J76" s="131" t="str">
        <f t="array" ref="J76">VLOOKUP($H76,CHOOSE({1,2,3,4,5},$F$3:$F$835,$D$3:$D$835,$B$3:$B$835,$C$3:$C$835,$E$3:$E$835),3,0)</f>
        <v>VIJITH  V V</v>
      </c>
      <c r="K76" s="131" t="str">
        <f t="array" ref="K76">VLOOKUP($H76,CHOOSE({1,2,3,4,5},$F$3:$F$835,$D$3:$D$835,$B$3:$B$835,$C$3:$C$835,$E$3:$E$835),4,0)</f>
        <v>HECC</v>
      </c>
      <c r="L76" s="131">
        <f t="array" ref="L76">VLOOKUP($H76,CHOOSE({1,2,3,4,5},$F$3:$F$835,$D$3:$D$835,$B$3:$B$835,$C$3:$C$835,$E$3:$E$835),5,0)</f>
        <v>3480</v>
      </c>
      <c r="M76" s="134"/>
      <c r="N76" s="24">
        <v>324958</v>
      </c>
      <c r="O76" s="131" t="str">
        <f t="array" ref="O76">HLOOKUP($N76,TRANSPOSE(CHOOSE({1,2,3,4,5,6},$F$3:$F$835,$B$3:$B$835,$E$3:$E$835,$C$3:$C$835,$A$3:$A$835,$D$3:$D$835)),2,0)</f>
        <v>VIJITH  V V</v>
      </c>
      <c r="P76" s="131">
        <f t="array" ref="P76">HLOOKUP($N76,TRANSPOSE(CHOOSE({1,2,3,4,5,6},$F$3:$F$835,$B$3:$B$835,$E$3:$E$835,$C$3:$C$835,$A$3:$A$835,$D$3:$D$835)),3,0)</f>
        <v>3480</v>
      </c>
      <c r="Q76" s="131" t="str">
        <f t="array" ref="Q76">HLOOKUP($N76,TRANSPOSE(CHOOSE({1,2,3,4,5,6},$F$3:$F$835,$B$3:$B$835,$E$3:$E$835,$C$3:$C$835,$A$3:$A$835,$D$3:$D$835)),4,0)</f>
        <v>HECC</v>
      </c>
      <c r="R76" s="131">
        <f t="array" ref="R76">HLOOKUP($N76,TRANSPOSE(CHOOSE({1,2,3,4,5,6},$F$3:$F$835,$B$3:$B$835,$E$3:$E$835,$C$3:$C$835,$A$3:$A$835,$D$3:$D$835)),1,0)</f>
        <v>324958</v>
      </c>
      <c r="S76" s="214" cm="1">
        <f t="array" ref="S76">HLOOKUP($N76,TRANSPOSE(CHOOSE({1,2,3,4,5,6},$F$3:$F$835,$B$3:$B$835,$E$3:$E$835,$C$3:$C$835,$A$3:$A$835,$D$3:$D$835)),5,0)</f>
        <v>43190</v>
      </c>
      <c r="T76" s="131" t="str">
        <f t="array" ref="T76">HLOOKUP($N76,TRANSPOSE(CHOOSE({1,2,3,4,5,6},$F$3:$F$835,$B$3:$B$835,$E$3:$E$835,$C$3:$C$835,$A$3:$A$835,$D$3:$D$835)),6,0)</f>
        <v>KL</v>
      </c>
      <c r="V76" s="22"/>
      <c r="W76" s="204"/>
    </row>
    <row r="77" spans="1:23" x14ac:dyDescent="0.35">
      <c r="A77" s="130">
        <v>42504</v>
      </c>
      <c r="B77" s="24" t="s">
        <v>303</v>
      </c>
      <c r="C77" s="24" t="s">
        <v>245</v>
      </c>
      <c r="D77" s="24" t="s">
        <v>281</v>
      </c>
      <c r="E77" s="24">
        <v>4355</v>
      </c>
      <c r="F77" s="24">
        <v>344736</v>
      </c>
      <c r="H77" s="24">
        <v>324960</v>
      </c>
      <c r="I77" s="131" t="str">
        <f t="array" ref="I77">VLOOKUP($H77,CHOOSE({1,2,3,4,5},$F$3:$F$835,$D$3:$D$835,$B$3:$B$835,$C$3:$C$835,$E$3:$E$835),2,0)</f>
        <v>KL</v>
      </c>
      <c r="J77" s="131" t="str">
        <f t="array" ref="J77">VLOOKUP($H77,CHOOSE({1,2,3,4,5},$F$3:$F$835,$D$3:$D$835,$B$3:$B$835,$C$3:$C$835,$E$3:$E$835),3,0)</f>
        <v>Manu Ashok</v>
      </c>
      <c r="K77" s="131" t="str">
        <f t="array" ref="K77">VLOOKUP($H77,CHOOSE({1,2,3,4,5},$F$3:$F$835,$D$3:$D$835,$B$3:$B$835,$C$3:$C$835,$E$3:$E$835),4,0)</f>
        <v>HECC</v>
      </c>
      <c r="L77" s="131">
        <f t="array" ref="L77">VLOOKUP($H77,CHOOSE({1,2,3,4,5},$F$3:$F$835,$D$3:$D$835,$B$3:$B$835,$C$3:$C$835,$E$3:$E$835),5,0)</f>
        <v>1735</v>
      </c>
      <c r="M77" s="134"/>
      <c r="N77" s="24">
        <v>324960</v>
      </c>
      <c r="O77" s="131" t="str">
        <f t="array" ref="O77">HLOOKUP($N77,TRANSPOSE(CHOOSE({1,2,3,4,5,6},$F$3:$F$835,$B$3:$B$835,$E$3:$E$835,$C$3:$C$835,$A$3:$A$835,$D$3:$D$835)),2,0)</f>
        <v>Manu Ashok</v>
      </c>
      <c r="P77" s="131">
        <f t="array" ref="P77">HLOOKUP($N77,TRANSPOSE(CHOOSE({1,2,3,4,5,6},$F$3:$F$835,$B$3:$B$835,$E$3:$E$835,$C$3:$C$835,$A$3:$A$835,$D$3:$D$835)),3,0)</f>
        <v>1735</v>
      </c>
      <c r="Q77" s="131" t="str">
        <f t="array" ref="Q77">HLOOKUP($N77,TRANSPOSE(CHOOSE({1,2,3,4,5,6},$F$3:$F$835,$B$3:$B$835,$E$3:$E$835,$C$3:$C$835,$A$3:$A$835,$D$3:$D$835)),4,0)</f>
        <v>HECC</v>
      </c>
      <c r="R77" s="131">
        <f t="array" ref="R77">HLOOKUP($N77,TRANSPOSE(CHOOSE({1,2,3,4,5,6},$F$3:$F$835,$B$3:$B$835,$E$3:$E$835,$C$3:$C$835,$A$3:$A$835,$D$3:$D$835)),1,0)</f>
        <v>324960</v>
      </c>
      <c r="S77" s="214" cm="1">
        <f t="array" ref="S77">HLOOKUP($N77,TRANSPOSE(CHOOSE({1,2,3,4,5,6},$F$3:$F$835,$B$3:$B$835,$E$3:$E$835,$C$3:$C$835,$A$3:$A$835,$D$3:$D$835)),5,0)</f>
        <v>43191</v>
      </c>
      <c r="T77" s="131" t="str">
        <f t="array" ref="T77">HLOOKUP($N77,TRANSPOSE(CHOOSE({1,2,3,4,5,6},$F$3:$F$835,$B$3:$B$835,$E$3:$E$835,$C$3:$C$835,$A$3:$A$835,$D$3:$D$835)),6,0)</f>
        <v>KL</v>
      </c>
      <c r="V77" s="22"/>
      <c r="W77" s="204"/>
    </row>
    <row r="78" spans="1:23" x14ac:dyDescent="0.35">
      <c r="A78" s="130">
        <v>42505</v>
      </c>
      <c r="B78" s="24" t="s">
        <v>303</v>
      </c>
      <c r="C78" s="24" t="s">
        <v>245</v>
      </c>
      <c r="D78" s="24" t="s">
        <v>281</v>
      </c>
      <c r="E78" s="24">
        <v>1575</v>
      </c>
      <c r="F78" s="24">
        <v>344737</v>
      </c>
      <c r="H78" s="24">
        <v>301049</v>
      </c>
      <c r="I78" s="131" t="str">
        <f t="array" ref="I78">VLOOKUP($H78,CHOOSE({1,2,3,4,5},$F$3:$F$835,$D$3:$D$835,$B$3:$B$835,$C$3:$C$835,$E$3:$E$835),2,0)</f>
        <v>KL</v>
      </c>
      <c r="J78" s="131" t="str">
        <f t="array" ref="J78">VLOOKUP($H78,CHOOSE({1,2,3,4,5},$F$3:$F$835,$D$3:$D$835,$B$3:$B$835,$C$3:$C$835,$E$3:$E$835),3,0)</f>
        <v>Farooq</v>
      </c>
      <c r="K78" s="131" t="str">
        <f t="array" ref="K78">VLOOKUP($H78,CHOOSE({1,2,3,4,5},$F$3:$F$835,$D$3:$D$835,$B$3:$B$835,$C$3:$C$835,$E$3:$E$835),4,0)</f>
        <v>HECC</v>
      </c>
      <c r="L78" s="131">
        <f t="array" ref="L78">VLOOKUP($H78,CHOOSE({1,2,3,4,5},$F$3:$F$835,$D$3:$D$835,$B$3:$B$835,$C$3:$C$835,$E$3:$E$835),5,0)</f>
        <v>4688</v>
      </c>
      <c r="M78" s="134"/>
      <c r="N78" s="24">
        <v>301049</v>
      </c>
      <c r="O78" s="131" t="str">
        <f t="array" ref="O78">HLOOKUP($N78,TRANSPOSE(CHOOSE({1,2,3,4,5,6},$F$3:$F$835,$B$3:$B$835,$E$3:$E$835,$C$3:$C$835,$A$3:$A$835,$D$3:$D$835)),2,0)</f>
        <v>Farooq</v>
      </c>
      <c r="P78" s="131">
        <f t="array" ref="P78">HLOOKUP($N78,TRANSPOSE(CHOOSE({1,2,3,4,5,6},$F$3:$F$835,$B$3:$B$835,$E$3:$E$835,$C$3:$C$835,$A$3:$A$835,$D$3:$D$835)),3,0)</f>
        <v>4688</v>
      </c>
      <c r="Q78" s="131" t="str">
        <f t="array" ref="Q78">HLOOKUP($N78,TRANSPOSE(CHOOSE({1,2,3,4,5,6},$F$3:$F$835,$B$3:$B$835,$E$3:$E$835,$C$3:$C$835,$A$3:$A$835,$D$3:$D$835)),4,0)</f>
        <v>HECC</v>
      </c>
      <c r="R78" s="131">
        <f t="array" ref="R78">HLOOKUP($N78,TRANSPOSE(CHOOSE({1,2,3,4,5,6},$F$3:$F$835,$B$3:$B$835,$E$3:$E$835,$C$3:$C$835,$A$3:$A$835,$D$3:$D$835)),1,0)</f>
        <v>301049</v>
      </c>
      <c r="S78" s="214" cm="1">
        <f t="array" ref="S78">HLOOKUP($N78,TRANSPOSE(CHOOSE({1,2,3,4,5,6},$F$3:$F$835,$B$3:$B$835,$E$3:$E$835,$C$3:$C$835,$A$3:$A$835,$D$3:$D$835)),5,0)</f>
        <v>43192</v>
      </c>
      <c r="T78" s="131" t="str">
        <f t="array" ref="T78">HLOOKUP($N78,TRANSPOSE(CHOOSE({1,2,3,4,5,6},$F$3:$F$835,$B$3:$B$835,$E$3:$E$835,$C$3:$C$835,$A$3:$A$835,$D$3:$D$835)),6,0)</f>
        <v>KL</v>
      </c>
      <c r="V78" s="22"/>
      <c r="W78" s="204"/>
    </row>
    <row r="79" spans="1:23" x14ac:dyDescent="0.35">
      <c r="A79" s="130">
        <v>42506</v>
      </c>
      <c r="B79" s="24" t="s">
        <v>304</v>
      </c>
      <c r="C79" s="24" t="s">
        <v>245</v>
      </c>
      <c r="D79" s="24" t="s">
        <v>281</v>
      </c>
      <c r="E79" s="24">
        <v>4936</v>
      </c>
      <c r="F79" s="24">
        <v>344738</v>
      </c>
      <c r="H79" s="24">
        <v>301083</v>
      </c>
      <c r="I79" s="131" t="str">
        <f t="array" ref="I79">VLOOKUP($H79,CHOOSE({1,2,3,4,5},$F$3:$F$835,$D$3:$D$835,$B$3:$B$835,$C$3:$C$835,$E$3:$E$835),2,0)</f>
        <v>KL</v>
      </c>
      <c r="J79" s="131" t="str">
        <f t="array" ref="J79">VLOOKUP($H79,CHOOSE({1,2,3,4,5},$F$3:$F$835,$D$3:$D$835,$B$3:$B$835,$C$3:$C$835,$E$3:$E$835),3,0)</f>
        <v>Deepika Raveendran</v>
      </c>
      <c r="K79" s="131" t="str">
        <f t="array" ref="K79">VLOOKUP($H79,CHOOSE({1,2,3,4,5},$F$3:$F$835,$D$3:$D$835,$B$3:$B$835,$C$3:$C$835,$E$3:$E$835),4,0)</f>
        <v>HECC</v>
      </c>
      <c r="L79" s="131">
        <f t="array" ref="L79">VLOOKUP($H79,CHOOSE({1,2,3,4,5},$F$3:$F$835,$D$3:$D$835,$B$3:$B$835,$C$3:$C$835,$E$3:$E$835),5,0)</f>
        <v>3287</v>
      </c>
      <c r="M79" s="134"/>
      <c r="N79" s="24">
        <v>301083</v>
      </c>
      <c r="O79" s="131" t="str">
        <f t="array" ref="O79">HLOOKUP($N79,TRANSPOSE(CHOOSE({1,2,3,4,5,6},$F$3:$F$835,$B$3:$B$835,$E$3:$E$835,$C$3:$C$835,$A$3:$A$835,$D$3:$D$835)),2,0)</f>
        <v>Deepika Raveendran</v>
      </c>
      <c r="P79" s="131">
        <f t="array" ref="P79">HLOOKUP($N79,TRANSPOSE(CHOOSE({1,2,3,4,5,6},$F$3:$F$835,$B$3:$B$835,$E$3:$E$835,$C$3:$C$835,$A$3:$A$835,$D$3:$D$835)),3,0)</f>
        <v>3287</v>
      </c>
      <c r="Q79" s="131" t="str">
        <f t="array" ref="Q79">HLOOKUP($N79,TRANSPOSE(CHOOSE({1,2,3,4,5,6},$F$3:$F$835,$B$3:$B$835,$E$3:$E$835,$C$3:$C$835,$A$3:$A$835,$D$3:$D$835)),4,0)</f>
        <v>HECC</v>
      </c>
      <c r="R79" s="131">
        <f t="array" ref="R79">HLOOKUP($N79,TRANSPOSE(CHOOSE({1,2,3,4,5,6},$F$3:$F$835,$B$3:$B$835,$E$3:$E$835,$C$3:$C$835,$A$3:$A$835,$D$3:$D$835)),1,0)</f>
        <v>301083</v>
      </c>
      <c r="S79" s="214" cm="1">
        <f t="array" ref="S79">HLOOKUP($N79,TRANSPOSE(CHOOSE({1,2,3,4,5,6},$F$3:$F$835,$B$3:$B$835,$E$3:$E$835,$C$3:$C$835,$A$3:$A$835,$D$3:$D$835)),5,0)</f>
        <v>43193</v>
      </c>
      <c r="T79" s="131" t="str">
        <f t="array" ref="T79">HLOOKUP($N79,TRANSPOSE(CHOOSE({1,2,3,4,5,6},$F$3:$F$835,$B$3:$B$835,$E$3:$E$835,$C$3:$C$835,$A$3:$A$835,$D$3:$D$835)),6,0)</f>
        <v>KL</v>
      </c>
      <c r="V79" s="22"/>
      <c r="W79" s="204"/>
    </row>
    <row r="80" spans="1:23" x14ac:dyDescent="0.35">
      <c r="A80" s="130">
        <v>42507</v>
      </c>
      <c r="B80" s="24" t="s">
        <v>304</v>
      </c>
      <c r="C80" s="24" t="s">
        <v>245</v>
      </c>
      <c r="D80" s="24" t="s">
        <v>281</v>
      </c>
      <c r="E80" s="24">
        <v>2432</v>
      </c>
      <c r="F80" s="24">
        <v>344739</v>
      </c>
      <c r="H80" s="24">
        <v>301120</v>
      </c>
      <c r="I80" s="131" t="str">
        <f t="array" ref="I80">VLOOKUP($H80,CHOOSE({1,2,3,4,5},$F$3:$F$835,$D$3:$D$835,$B$3:$B$835,$C$3:$C$835,$E$3:$E$835),2,0)</f>
        <v>KL</v>
      </c>
      <c r="J80" s="131" t="str">
        <f t="array" ref="J80">VLOOKUP($H80,CHOOSE({1,2,3,4,5},$F$3:$F$835,$D$3:$D$835,$B$3:$B$835,$C$3:$C$835,$E$3:$E$835),3,0)</f>
        <v>Praveen Raj</v>
      </c>
      <c r="K80" s="131" t="str">
        <f t="array" ref="K80">VLOOKUP($H80,CHOOSE({1,2,3,4,5},$F$3:$F$835,$D$3:$D$835,$B$3:$B$835,$C$3:$C$835,$E$3:$E$835),4,0)</f>
        <v>HECC</v>
      </c>
      <c r="L80" s="131">
        <f t="array" ref="L80">VLOOKUP($H80,CHOOSE({1,2,3,4,5},$F$3:$F$835,$D$3:$D$835,$B$3:$B$835,$C$3:$C$835,$E$3:$E$835),5,0)</f>
        <v>3603</v>
      </c>
      <c r="M80" s="134"/>
      <c r="N80" s="24">
        <v>301120</v>
      </c>
      <c r="O80" s="131" t="str">
        <f t="array" ref="O80">HLOOKUP($N80,TRANSPOSE(CHOOSE({1,2,3,4,5,6},$F$3:$F$835,$B$3:$B$835,$E$3:$E$835,$C$3:$C$835,$A$3:$A$835,$D$3:$D$835)),2,0)</f>
        <v>Praveen Raj</v>
      </c>
      <c r="P80" s="131">
        <f t="array" ref="P80">HLOOKUP($N80,TRANSPOSE(CHOOSE({1,2,3,4,5,6},$F$3:$F$835,$B$3:$B$835,$E$3:$E$835,$C$3:$C$835,$A$3:$A$835,$D$3:$D$835)),3,0)</f>
        <v>3603</v>
      </c>
      <c r="Q80" s="131" t="str">
        <f t="array" ref="Q80">HLOOKUP($N80,TRANSPOSE(CHOOSE({1,2,3,4,5,6},$F$3:$F$835,$B$3:$B$835,$E$3:$E$835,$C$3:$C$835,$A$3:$A$835,$D$3:$D$835)),4,0)</f>
        <v>HECC</v>
      </c>
      <c r="R80" s="131">
        <f t="array" ref="R80">HLOOKUP($N80,TRANSPOSE(CHOOSE({1,2,3,4,5,6},$F$3:$F$835,$B$3:$B$835,$E$3:$E$835,$C$3:$C$835,$A$3:$A$835,$D$3:$D$835)),1,0)</f>
        <v>301120</v>
      </c>
      <c r="S80" s="214" cm="1">
        <f t="array" ref="S80">HLOOKUP($N80,TRANSPOSE(CHOOSE({1,2,3,4,5,6},$F$3:$F$835,$B$3:$B$835,$E$3:$E$835,$C$3:$C$835,$A$3:$A$835,$D$3:$D$835)),5,0)</f>
        <v>43194</v>
      </c>
      <c r="T80" s="131" t="str">
        <f t="array" ref="T80">HLOOKUP($N80,TRANSPOSE(CHOOSE({1,2,3,4,5,6},$F$3:$F$835,$B$3:$B$835,$E$3:$E$835,$C$3:$C$835,$A$3:$A$835,$D$3:$D$835)),6,0)</f>
        <v>KL</v>
      </c>
      <c r="V80" s="22"/>
      <c r="W80" s="204"/>
    </row>
    <row r="81" spans="1:23" x14ac:dyDescent="0.35">
      <c r="A81" s="130">
        <v>42508</v>
      </c>
      <c r="B81" s="24" t="s">
        <v>305</v>
      </c>
      <c r="C81" s="24" t="s">
        <v>245</v>
      </c>
      <c r="D81" s="24" t="s">
        <v>281</v>
      </c>
      <c r="E81" s="24">
        <v>1498</v>
      </c>
      <c r="F81" s="24">
        <v>344740</v>
      </c>
      <c r="H81" s="24">
        <v>301187</v>
      </c>
      <c r="I81" s="131" t="str">
        <f t="array" ref="I81">VLOOKUP($H81,CHOOSE({1,2,3,4,5},$F$3:$F$835,$D$3:$D$835,$B$3:$B$835,$C$3:$C$835,$E$3:$E$835),2,0)</f>
        <v>KL</v>
      </c>
      <c r="J81" s="131" t="str">
        <f t="array" ref="J81">VLOOKUP($H81,CHOOSE({1,2,3,4,5},$F$3:$F$835,$D$3:$D$835,$B$3:$B$835,$C$3:$C$835,$E$3:$E$835),3,0)</f>
        <v>Prabina</v>
      </c>
      <c r="K81" s="131" t="str">
        <f t="array" ref="K81">VLOOKUP($H81,CHOOSE({1,2,3,4,5},$F$3:$F$835,$D$3:$D$835,$B$3:$B$835,$C$3:$C$835,$E$3:$E$835),4,0)</f>
        <v>HECC</v>
      </c>
      <c r="L81" s="131">
        <f t="array" ref="L81">VLOOKUP($H81,CHOOSE({1,2,3,4,5},$F$3:$F$835,$D$3:$D$835,$B$3:$B$835,$C$3:$C$835,$E$3:$E$835),5,0)</f>
        <v>2355</v>
      </c>
      <c r="M81" s="134"/>
      <c r="N81" s="24">
        <v>301187</v>
      </c>
      <c r="O81" s="131" t="str">
        <f t="array" ref="O81">HLOOKUP($N81,TRANSPOSE(CHOOSE({1,2,3,4,5,6},$F$3:$F$835,$B$3:$B$835,$E$3:$E$835,$C$3:$C$835,$A$3:$A$835,$D$3:$D$835)),2,0)</f>
        <v>Prabina</v>
      </c>
      <c r="P81" s="131">
        <f t="array" ref="P81">HLOOKUP($N81,TRANSPOSE(CHOOSE({1,2,3,4,5,6},$F$3:$F$835,$B$3:$B$835,$E$3:$E$835,$C$3:$C$835,$A$3:$A$835,$D$3:$D$835)),3,0)</f>
        <v>2355</v>
      </c>
      <c r="Q81" s="131" t="str">
        <f t="array" ref="Q81">HLOOKUP($N81,TRANSPOSE(CHOOSE({1,2,3,4,5,6},$F$3:$F$835,$B$3:$B$835,$E$3:$E$835,$C$3:$C$835,$A$3:$A$835,$D$3:$D$835)),4,0)</f>
        <v>HECC</v>
      </c>
      <c r="R81" s="131">
        <f t="array" ref="R81">HLOOKUP($N81,TRANSPOSE(CHOOSE({1,2,3,4,5,6},$F$3:$F$835,$B$3:$B$835,$E$3:$E$835,$C$3:$C$835,$A$3:$A$835,$D$3:$D$835)),1,0)</f>
        <v>301187</v>
      </c>
      <c r="S81" s="214" cm="1">
        <f t="array" ref="S81">HLOOKUP($N81,TRANSPOSE(CHOOSE({1,2,3,4,5,6},$F$3:$F$835,$B$3:$B$835,$E$3:$E$835,$C$3:$C$835,$A$3:$A$835,$D$3:$D$835)),5,0)</f>
        <v>43195</v>
      </c>
      <c r="T81" s="131" t="str">
        <f t="array" ref="T81">HLOOKUP($N81,TRANSPOSE(CHOOSE({1,2,3,4,5,6},$F$3:$F$835,$B$3:$B$835,$E$3:$E$835,$C$3:$C$835,$A$3:$A$835,$D$3:$D$835)),6,0)</f>
        <v>KL</v>
      </c>
      <c r="V81" s="22"/>
      <c r="W81" s="204"/>
    </row>
    <row r="82" spans="1:23" x14ac:dyDescent="0.35">
      <c r="A82" s="130">
        <v>42509</v>
      </c>
      <c r="B82" s="24" t="s">
        <v>305</v>
      </c>
      <c r="C82" s="24" t="s">
        <v>245</v>
      </c>
      <c r="D82" s="24" t="s">
        <v>281</v>
      </c>
      <c r="E82" s="24">
        <v>1788</v>
      </c>
      <c r="F82" s="24">
        <v>344741</v>
      </c>
      <c r="H82" s="24">
        <v>301194</v>
      </c>
      <c r="I82" s="131" t="str">
        <f t="array" ref="I82">VLOOKUP($H82,CHOOSE({1,2,3,4,5},$F$3:$F$835,$D$3:$D$835,$B$3:$B$835,$C$3:$C$835,$E$3:$E$835),2,0)</f>
        <v>KL</v>
      </c>
      <c r="J82" s="131" t="str">
        <f t="array" ref="J82">VLOOKUP($H82,CHOOSE({1,2,3,4,5},$F$3:$F$835,$D$3:$D$835,$B$3:$B$835,$C$3:$C$835,$E$3:$E$835),3,0)</f>
        <v>Franklin</v>
      </c>
      <c r="K82" s="131" t="str">
        <f t="array" ref="K82">VLOOKUP($H82,CHOOSE({1,2,3,4,5},$F$3:$F$835,$D$3:$D$835,$B$3:$B$835,$C$3:$C$835,$E$3:$E$835),4,0)</f>
        <v>HECC</v>
      </c>
      <c r="L82" s="131">
        <f t="array" ref="L82">VLOOKUP($H82,CHOOSE({1,2,3,4,5},$F$3:$F$835,$D$3:$D$835,$B$3:$B$835,$C$3:$C$835,$E$3:$E$835),5,0)</f>
        <v>4377</v>
      </c>
      <c r="M82" s="134"/>
      <c r="N82" s="24">
        <v>301194</v>
      </c>
      <c r="O82" s="131" t="str">
        <f t="array" ref="O82">HLOOKUP($N82,TRANSPOSE(CHOOSE({1,2,3,4,5,6},$F$3:$F$835,$B$3:$B$835,$E$3:$E$835,$C$3:$C$835,$A$3:$A$835,$D$3:$D$835)),2,0)</f>
        <v>Franklin</v>
      </c>
      <c r="P82" s="131">
        <f t="array" ref="P82">HLOOKUP($N82,TRANSPOSE(CHOOSE({1,2,3,4,5,6},$F$3:$F$835,$B$3:$B$835,$E$3:$E$835,$C$3:$C$835,$A$3:$A$835,$D$3:$D$835)),3,0)</f>
        <v>4377</v>
      </c>
      <c r="Q82" s="131" t="str">
        <f t="array" ref="Q82">HLOOKUP($N82,TRANSPOSE(CHOOSE({1,2,3,4,5,6},$F$3:$F$835,$B$3:$B$835,$E$3:$E$835,$C$3:$C$835,$A$3:$A$835,$D$3:$D$835)),4,0)</f>
        <v>HECC</v>
      </c>
      <c r="R82" s="131">
        <f t="array" ref="R82">HLOOKUP($N82,TRANSPOSE(CHOOSE({1,2,3,4,5,6},$F$3:$F$835,$B$3:$B$835,$E$3:$E$835,$C$3:$C$835,$A$3:$A$835,$D$3:$D$835)),1,0)</f>
        <v>301194</v>
      </c>
      <c r="S82" s="214" cm="1">
        <f t="array" ref="S82">HLOOKUP($N82,TRANSPOSE(CHOOSE({1,2,3,4,5,6},$F$3:$F$835,$B$3:$B$835,$E$3:$E$835,$C$3:$C$835,$A$3:$A$835,$D$3:$D$835)),5,0)</f>
        <v>43196</v>
      </c>
      <c r="T82" s="131" t="str">
        <f t="array" ref="T82">HLOOKUP($N82,TRANSPOSE(CHOOSE({1,2,3,4,5,6},$F$3:$F$835,$B$3:$B$835,$E$3:$E$835,$C$3:$C$835,$A$3:$A$835,$D$3:$D$835)),6,0)</f>
        <v>KL</v>
      </c>
      <c r="V82" s="22"/>
      <c r="W82" s="204"/>
    </row>
    <row r="83" spans="1:23" x14ac:dyDescent="0.35">
      <c r="A83" s="130">
        <v>42510</v>
      </c>
      <c r="B83" s="24" t="s">
        <v>306</v>
      </c>
      <c r="C83" s="24" t="s">
        <v>245</v>
      </c>
      <c r="D83" s="24" t="s">
        <v>281</v>
      </c>
      <c r="E83" s="24">
        <v>2026</v>
      </c>
      <c r="F83" s="24">
        <v>344742</v>
      </c>
      <c r="H83" s="24">
        <v>301195</v>
      </c>
      <c r="I83" s="131" t="str">
        <f t="array" ref="I83">VLOOKUP($H83,CHOOSE({1,2,3,4,5},$F$3:$F$835,$D$3:$D$835,$B$3:$B$835,$C$3:$C$835,$E$3:$E$835),2,0)</f>
        <v>KL</v>
      </c>
      <c r="J83" s="131" t="str">
        <f t="array" ref="J83">VLOOKUP($H83,CHOOSE({1,2,3,4,5},$F$3:$F$835,$D$3:$D$835,$B$3:$B$835,$C$3:$C$835,$E$3:$E$835),3,0)</f>
        <v>Revathi Ragini</v>
      </c>
      <c r="K83" s="131" t="str">
        <f t="array" ref="K83">VLOOKUP($H83,CHOOSE({1,2,3,4,5},$F$3:$F$835,$D$3:$D$835,$B$3:$B$835,$C$3:$C$835,$E$3:$E$835),4,0)</f>
        <v>HECC</v>
      </c>
      <c r="L83" s="131">
        <f t="array" ref="L83">VLOOKUP($H83,CHOOSE({1,2,3,4,5},$F$3:$F$835,$D$3:$D$835,$B$3:$B$835,$C$3:$C$835,$E$3:$E$835),5,0)</f>
        <v>3752</v>
      </c>
      <c r="M83" s="134"/>
      <c r="N83" s="24">
        <v>301195</v>
      </c>
      <c r="O83" s="131" t="str">
        <f t="array" ref="O83">HLOOKUP($N83,TRANSPOSE(CHOOSE({1,2,3,4,5,6},$F$3:$F$835,$B$3:$B$835,$E$3:$E$835,$C$3:$C$835,$A$3:$A$835,$D$3:$D$835)),2,0)</f>
        <v>Revathi Ragini</v>
      </c>
      <c r="P83" s="131">
        <f t="array" ref="P83">HLOOKUP($N83,TRANSPOSE(CHOOSE({1,2,3,4,5,6},$F$3:$F$835,$B$3:$B$835,$E$3:$E$835,$C$3:$C$835,$A$3:$A$835,$D$3:$D$835)),3,0)</f>
        <v>3752</v>
      </c>
      <c r="Q83" s="131" t="str">
        <f t="array" ref="Q83">HLOOKUP($N83,TRANSPOSE(CHOOSE({1,2,3,4,5,6},$F$3:$F$835,$B$3:$B$835,$E$3:$E$835,$C$3:$C$835,$A$3:$A$835,$D$3:$D$835)),4,0)</f>
        <v>HECC</v>
      </c>
      <c r="R83" s="131">
        <f t="array" ref="R83">HLOOKUP($N83,TRANSPOSE(CHOOSE({1,2,3,4,5,6},$F$3:$F$835,$B$3:$B$835,$E$3:$E$835,$C$3:$C$835,$A$3:$A$835,$D$3:$D$835)),1,0)</f>
        <v>301195</v>
      </c>
      <c r="S83" s="214" cm="1">
        <f t="array" ref="S83">HLOOKUP($N83,TRANSPOSE(CHOOSE({1,2,3,4,5,6},$F$3:$F$835,$B$3:$B$835,$E$3:$E$835,$C$3:$C$835,$A$3:$A$835,$D$3:$D$835)),5,0)</f>
        <v>43197</v>
      </c>
      <c r="T83" s="131" t="str">
        <f t="array" ref="T83">HLOOKUP($N83,TRANSPOSE(CHOOSE({1,2,3,4,5,6},$F$3:$F$835,$B$3:$B$835,$E$3:$E$835,$C$3:$C$835,$A$3:$A$835,$D$3:$D$835)),6,0)</f>
        <v>KL</v>
      </c>
      <c r="V83" s="22"/>
      <c r="W83" s="204"/>
    </row>
    <row r="84" spans="1:23" x14ac:dyDescent="0.35">
      <c r="A84" s="130">
        <v>42511</v>
      </c>
      <c r="B84" s="24" t="s">
        <v>306</v>
      </c>
      <c r="C84" s="24" t="s">
        <v>245</v>
      </c>
      <c r="D84" s="24" t="s">
        <v>281</v>
      </c>
      <c r="E84" s="24">
        <v>3294</v>
      </c>
      <c r="F84" s="24">
        <v>344743</v>
      </c>
      <c r="H84" s="24">
        <v>301197</v>
      </c>
      <c r="I84" s="131" t="str">
        <f t="array" ref="I84">VLOOKUP($H84,CHOOSE({1,2,3,4,5},$F$3:$F$835,$D$3:$D$835,$B$3:$B$835,$C$3:$C$835,$E$3:$E$835),2,0)</f>
        <v>KL</v>
      </c>
      <c r="J84" s="131" t="str">
        <f t="array" ref="J84">VLOOKUP($H84,CHOOSE({1,2,3,4,5},$F$3:$F$835,$D$3:$D$835,$B$3:$B$835,$C$3:$C$835,$E$3:$E$835),3,0)</f>
        <v>Jayashree Sivashanka</v>
      </c>
      <c r="K84" s="131" t="str">
        <f t="array" ref="K84">VLOOKUP($H84,CHOOSE({1,2,3,4,5},$F$3:$F$835,$D$3:$D$835,$B$3:$B$835,$C$3:$C$835,$E$3:$E$835),4,0)</f>
        <v>HECC</v>
      </c>
      <c r="L84" s="131">
        <f t="array" ref="L84">VLOOKUP($H84,CHOOSE({1,2,3,4,5},$F$3:$F$835,$D$3:$D$835,$B$3:$B$835,$C$3:$C$835,$E$3:$E$835),5,0)</f>
        <v>4028</v>
      </c>
      <c r="M84" s="134"/>
      <c r="N84" s="24">
        <v>301197</v>
      </c>
      <c r="O84" s="131" t="str">
        <f t="array" ref="O84">HLOOKUP($N84,TRANSPOSE(CHOOSE({1,2,3,4,5,6},$F$3:$F$835,$B$3:$B$835,$E$3:$E$835,$C$3:$C$835,$A$3:$A$835,$D$3:$D$835)),2,0)</f>
        <v>Jayashree Sivashanka</v>
      </c>
      <c r="P84" s="131">
        <f t="array" ref="P84">HLOOKUP($N84,TRANSPOSE(CHOOSE({1,2,3,4,5,6},$F$3:$F$835,$B$3:$B$835,$E$3:$E$835,$C$3:$C$835,$A$3:$A$835,$D$3:$D$835)),3,0)</f>
        <v>4028</v>
      </c>
      <c r="Q84" s="131" t="str">
        <f t="array" ref="Q84">HLOOKUP($N84,TRANSPOSE(CHOOSE({1,2,3,4,5,6},$F$3:$F$835,$B$3:$B$835,$E$3:$E$835,$C$3:$C$835,$A$3:$A$835,$D$3:$D$835)),4,0)</f>
        <v>HECC</v>
      </c>
      <c r="R84" s="131">
        <f t="array" ref="R84">HLOOKUP($N84,TRANSPOSE(CHOOSE({1,2,3,4,5,6},$F$3:$F$835,$B$3:$B$835,$E$3:$E$835,$C$3:$C$835,$A$3:$A$835,$D$3:$D$835)),1,0)</f>
        <v>301197</v>
      </c>
      <c r="S84" s="214" cm="1">
        <f t="array" ref="S84">HLOOKUP($N84,TRANSPOSE(CHOOSE({1,2,3,4,5,6},$F$3:$F$835,$B$3:$B$835,$E$3:$E$835,$C$3:$C$835,$A$3:$A$835,$D$3:$D$835)),5,0)</f>
        <v>43198</v>
      </c>
      <c r="T84" s="131" t="str">
        <f t="array" ref="T84">HLOOKUP($N84,TRANSPOSE(CHOOSE({1,2,3,4,5,6},$F$3:$F$835,$B$3:$B$835,$E$3:$E$835,$C$3:$C$835,$A$3:$A$835,$D$3:$D$835)),6,0)</f>
        <v>KL</v>
      </c>
      <c r="V84" s="22"/>
      <c r="W84" s="204"/>
    </row>
    <row r="85" spans="1:23" x14ac:dyDescent="0.35">
      <c r="A85" s="130">
        <v>42512</v>
      </c>
      <c r="B85" s="24" t="s">
        <v>306</v>
      </c>
      <c r="C85" s="24" t="s">
        <v>245</v>
      </c>
      <c r="D85" s="24" t="s">
        <v>281</v>
      </c>
      <c r="E85" s="24">
        <v>4203</v>
      </c>
      <c r="F85" s="24">
        <v>344744</v>
      </c>
      <c r="H85" s="24">
        <v>301198</v>
      </c>
      <c r="I85" s="131" t="str">
        <f t="array" ref="I85">VLOOKUP($H85,CHOOSE({1,2,3,4,5},$F$3:$F$835,$D$3:$D$835,$B$3:$B$835,$C$3:$C$835,$E$3:$E$835),2,0)</f>
        <v>KL</v>
      </c>
      <c r="J85" s="131" t="str">
        <f t="array" ref="J85">VLOOKUP($H85,CHOOSE({1,2,3,4,5},$F$3:$F$835,$D$3:$D$835,$B$3:$B$835,$C$3:$C$835,$E$3:$E$835),3,0)</f>
        <v>Vishnu Mohan</v>
      </c>
      <c r="K85" s="131" t="str">
        <f t="array" ref="K85">VLOOKUP($H85,CHOOSE({1,2,3,4,5},$F$3:$F$835,$D$3:$D$835,$B$3:$B$835,$C$3:$C$835,$E$3:$E$835),4,0)</f>
        <v>HECC</v>
      </c>
      <c r="L85" s="131">
        <f t="array" ref="L85">VLOOKUP($H85,CHOOSE({1,2,3,4,5},$F$3:$F$835,$D$3:$D$835,$B$3:$B$835,$C$3:$C$835,$E$3:$E$835),5,0)</f>
        <v>3780</v>
      </c>
      <c r="M85" s="134"/>
      <c r="N85" s="24">
        <v>301198</v>
      </c>
      <c r="O85" s="131" t="str">
        <f t="array" ref="O85">HLOOKUP($N85,TRANSPOSE(CHOOSE({1,2,3,4,5,6},$F$3:$F$835,$B$3:$B$835,$E$3:$E$835,$C$3:$C$835,$A$3:$A$835,$D$3:$D$835)),2,0)</f>
        <v>Vishnu Mohan</v>
      </c>
      <c r="P85" s="131">
        <f t="array" ref="P85">HLOOKUP($N85,TRANSPOSE(CHOOSE({1,2,3,4,5,6},$F$3:$F$835,$B$3:$B$835,$E$3:$E$835,$C$3:$C$835,$A$3:$A$835,$D$3:$D$835)),3,0)</f>
        <v>3780</v>
      </c>
      <c r="Q85" s="131" t="str">
        <f t="array" ref="Q85">HLOOKUP($N85,TRANSPOSE(CHOOSE({1,2,3,4,5,6},$F$3:$F$835,$B$3:$B$835,$E$3:$E$835,$C$3:$C$835,$A$3:$A$835,$D$3:$D$835)),4,0)</f>
        <v>HECC</v>
      </c>
      <c r="R85" s="131">
        <f t="array" ref="R85">HLOOKUP($N85,TRANSPOSE(CHOOSE({1,2,3,4,5,6},$F$3:$F$835,$B$3:$B$835,$E$3:$E$835,$C$3:$C$835,$A$3:$A$835,$D$3:$D$835)),1,0)</f>
        <v>301198</v>
      </c>
      <c r="S85" s="214" cm="1">
        <f t="array" ref="S85">HLOOKUP($N85,TRANSPOSE(CHOOSE({1,2,3,4,5,6},$F$3:$F$835,$B$3:$B$835,$E$3:$E$835,$C$3:$C$835,$A$3:$A$835,$D$3:$D$835)),5,0)</f>
        <v>43199</v>
      </c>
      <c r="T85" s="131" t="str">
        <f t="array" ref="T85">HLOOKUP($N85,TRANSPOSE(CHOOSE({1,2,3,4,5,6},$F$3:$F$835,$B$3:$B$835,$E$3:$E$835,$C$3:$C$835,$A$3:$A$835,$D$3:$D$835)),6,0)</f>
        <v>KL</v>
      </c>
      <c r="V85" s="22"/>
      <c r="W85" s="204"/>
    </row>
    <row r="86" spans="1:23" x14ac:dyDescent="0.35">
      <c r="A86" s="130">
        <v>42513</v>
      </c>
      <c r="B86" s="24" t="s">
        <v>307</v>
      </c>
      <c r="C86" s="24" t="s">
        <v>245</v>
      </c>
      <c r="D86" s="24" t="s">
        <v>281</v>
      </c>
      <c r="E86" s="24">
        <v>2634</v>
      </c>
      <c r="F86" s="24">
        <v>344745</v>
      </c>
      <c r="H86" s="24">
        <v>301199</v>
      </c>
      <c r="I86" s="131" t="str">
        <f t="array" ref="I86">VLOOKUP($H86,CHOOSE({1,2,3,4,5},$F$3:$F$835,$D$3:$D$835,$B$3:$B$835,$C$3:$C$835,$E$3:$E$835),2,0)</f>
        <v>KL</v>
      </c>
      <c r="J86" s="131" t="str">
        <f t="array" ref="J86">VLOOKUP($H86,CHOOSE({1,2,3,4,5},$F$3:$F$835,$D$3:$D$835,$B$3:$B$835,$C$3:$C$835,$E$3:$E$835),3,0)</f>
        <v>ViveK</v>
      </c>
      <c r="K86" s="131" t="str">
        <f t="array" ref="K86">VLOOKUP($H86,CHOOSE({1,2,3,4,5},$F$3:$F$835,$D$3:$D$835,$B$3:$B$835,$C$3:$C$835,$E$3:$E$835),4,0)</f>
        <v>GVRM</v>
      </c>
      <c r="L86" s="131">
        <f t="array" ref="L86">VLOOKUP($H86,CHOOSE({1,2,3,4,5},$F$3:$F$835,$D$3:$D$835,$B$3:$B$835,$C$3:$C$835,$E$3:$E$835),5,0)</f>
        <v>4505</v>
      </c>
      <c r="M86" s="134"/>
      <c r="N86" s="24">
        <v>301199</v>
      </c>
      <c r="O86" s="131" t="str">
        <f t="array" ref="O86">HLOOKUP($N86,TRANSPOSE(CHOOSE({1,2,3,4,5,6},$F$3:$F$835,$B$3:$B$835,$E$3:$E$835,$C$3:$C$835,$A$3:$A$835,$D$3:$D$835)),2,0)</f>
        <v>ViveK</v>
      </c>
      <c r="P86" s="131">
        <f t="array" ref="P86">HLOOKUP($N86,TRANSPOSE(CHOOSE({1,2,3,4,5,6},$F$3:$F$835,$B$3:$B$835,$E$3:$E$835,$C$3:$C$835,$A$3:$A$835,$D$3:$D$835)),3,0)</f>
        <v>4505</v>
      </c>
      <c r="Q86" s="131" t="str">
        <f t="array" ref="Q86">HLOOKUP($N86,TRANSPOSE(CHOOSE({1,2,3,4,5,6},$F$3:$F$835,$B$3:$B$835,$E$3:$E$835,$C$3:$C$835,$A$3:$A$835,$D$3:$D$835)),4,0)</f>
        <v>GVRM</v>
      </c>
      <c r="R86" s="131">
        <f t="array" ref="R86">HLOOKUP($N86,TRANSPOSE(CHOOSE({1,2,3,4,5,6},$F$3:$F$835,$B$3:$B$835,$E$3:$E$835,$C$3:$C$835,$A$3:$A$835,$D$3:$D$835)),1,0)</f>
        <v>301199</v>
      </c>
      <c r="S86" s="214" cm="1">
        <f t="array" ref="S86">HLOOKUP($N86,TRANSPOSE(CHOOSE({1,2,3,4,5,6},$F$3:$F$835,$B$3:$B$835,$E$3:$E$835,$C$3:$C$835,$A$3:$A$835,$D$3:$D$835)),5,0)</f>
        <v>43200</v>
      </c>
      <c r="T86" s="131" t="str">
        <f t="array" ref="T86">HLOOKUP($N86,TRANSPOSE(CHOOSE({1,2,3,4,5,6},$F$3:$F$835,$B$3:$B$835,$E$3:$E$835,$C$3:$C$835,$A$3:$A$835,$D$3:$D$835)),6,0)</f>
        <v>KL</v>
      </c>
      <c r="V86" s="22"/>
      <c r="W86" s="204"/>
    </row>
    <row r="87" spans="1:23" x14ac:dyDescent="0.35">
      <c r="A87" s="130">
        <v>42514</v>
      </c>
      <c r="B87" s="24" t="s">
        <v>308</v>
      </c>
      <c r="C87" s="24" t="s">
        <v>245</v>
      </c>
      <c r="D87" s="24" t="s">
        <v>281</v>
      </c>
      <c r="E87" s="24">
        <v>1613</v>
      </c>
      <c r="F87" s="24">
        <v>344747</v>
      </c>
      <c r="H87" s="24">
        <v>301200</v>
      </c>
      <c r="I87" s="131" t="str">
        <f t="array" ref="I87">VLOOKUP($H87,CHOOSE({1,2,3,4,5},$F$3:$F$835,$D$3:$D$835,$B$3:$B$835,$C$3:$C$835,$E$3:$E$835),2,0)</f>
        <v>KL</v>
      </c>
      <c r="J87" s="131" t="str">
        <f t="array" ref="J87">VLOOKUP($H87,CHOOSE({1,2,3,4,5},$F$3:$F$835,$D$3:$D$835,$B$3:$B$835,$C$3:$C$835,$E$3:$E$835),3,0)</f>
        <v>Anoop Jacob</v>
      </c>
      <c r="K87" s="131" t="str">
        <f t="array" ref="K87">VLOOKUP($H87,CHOOSE({1,2,3,4,5},$F$3:$F$835,$D$3:$D$835,$B$3:$B$835,$C$3:$C$835,$E$3:$E$835),4,0)</f>
        <v>VRM</v>
      </c>
      <c r="L87" s="131">
        <f t="array" ref="L87">VLOOKUP($H87,CHOOSE({1,2,3,4,5},$F$3:$F$835,$D$3:$D$835,$B$3:$B$835,$C$3:$C$835,$E$3:$E$835),5,0)</f>
        <v>4114</v>
      </c>
      <c r="M87" s="134"/>
      <c r="N87" s="24">
        <v>301200</v>
      </c>
      <c r="O87" s="131" t="str">
        <f t="array" ref="O87">HLOOKUP($N87,TRANSPOSE(CHOOSE({1,2,3,4,5,6},$F$3:$F$835,$B$3:$B$835,$E$3:$E$835,$C$3:$C$835,$A$3:$A$835,$D$3:$D$835)),2,0)</f>
        <v>Anoop Jacob</v>
      </c>
      <c r="P87" s="131">
        <f t="array" ref="P87">HLOOKUP($N87,TRANSPOSE(CHOOSE({1,2,3,4,5,6},$F$3:$F$835,$B$3:$B$835,$E$3:$E$835,$C$3:$C$835,$A$3:$A$835,$D$3:$D$835)),3,0)</f>
        <v>4114</v>
      </c>
      <c r="Q87" s="131" t="str">
        <f t="array" ref="Q87">HLOOKUP($N87,TRANSPOSE(CHOOSE({1,2,3,4,5,6},$F$3:$F$835,$B$3:$B$835,$E$3:$E$835,$C$3:$C$835,$A$3:$A$835,$D$3:$D$835)),4,0)</f>
        <v>VRM</v>
      </c>
      <c r="R87" s="131">
        <f t="array" ref="R87">HLOOKUP($N87,TRANSPOSE(CHOOSE({1,2,3,4,5,6},$F$3:$F$835,$B$3:$B$835,$E$3:$E$835,$C$3:$C$835,$A$3:$A$835,$D$3:$D$835)),1,0)</f>
        <v>301200</v>
      </c>
      <c r="S87" s="214" cm="1">
        <f t="array" ref="S87">HLOOKUP($N87,TRANSPOSE(CHOOSE({1,2,3,4,5,6},$F$3:$F$835,$B$3:$B$835,$E$3:$E$835,$C$3:$C$835,$A$3:$A$835,$D$3:$D$835)),5,0)</f>
        <v>43201</v>
      </c>
      <c r="T87" s="131" t="str">
        <f t="array" ref="T87">HLOOKUP($N87,TRANSPOSE(CHOOSE({1,2,3,4,5,6},$F$3:$F$835,$B$3:$B$835,$E$3:$E$835,$C$3:$C$835,$A$3:$A$835,$D$3:$D$835)),6,0)</f>
        <v>KL</v>
      </c>
      <c r="V87" s="22"/>
      <c r="W87" s="204"/>
    </row>
    <row r="88" spans="1:23" x14ac:dyDescent="0.35">
      <c r="A88" s="130">
        <v>42515</v>
      </c>
      <c r="B88" s="24" t="s">
        <v>308</v>
      </c>
      <c r="C88" s="24" t="s">
        <v>245</v>
      </c>
      <c r="D88" s="24" t="s">
        <v>281</v>
      </c>
      <c r="E88" s="24">
        <v>4318</v>
      </c>
      <c r="F88" s="24">
        <v>328569</v>
      </c>
      <c r="H88" s="24">
        <v>301202</v>
      </c>
      <c r="I88" s="131" t="str">
        <f t="array" ref="I88">VLOOKUP($H88,CHOOSE({1,2,3,4,5},$F$3:$F$835,$D$3:$D$835,$B$3:$B$835,$C$3:$C$835,$E$3:$E$835),2,0)</f>
        <v>KL</v>
      </c>
      <c r="J88" s="131" t="str">
        <f t="array" ref="J88">VLOOKUP($H88,CHOOSE({1,2,3,4,5},$F$3:$F$835,$D$3:$D$835,$B$3:$B$835,$C$3:$C$835,$E$3:$E$835),3,0)</f>
        <v>VINESH</v>
      </c>
      <c r="K88" s="131" t="str">
        <f t="array" ref="K88">VLOOKUP($H88,CHOOSE({1,2,3,4,5},$F$3:$F$835,$D$3:$D$835,$B$3:$B$835,$C$3:$C$835,$E$3:$E$835),4,0)</f>
        <v>GVRM</v>
      </c>
      <c r="L88" s="131">
        <f t="array" ref="L88">VLOOKUP($H88,CHOOSE({1,2,3,4,5},$F$3:$F$835,$D$3:$D$835,$B$3:$B$835,$C$3:$C$835,$E$3:$E$835),5,0)</f>
        <v>4567</v>
      </c>
      <c r="M88" s="134"/>
      <c r="N88" s="24">
        <v>301202</v>
      </c>
      <c r="O88" s="131" t="str">
        <f t="array" ref="O88">HLOOKUP($N88,TRANSPOSE(CHOOSE({1,2,3,4,5,6},$F$3:$F$835,$B$3:$B$835,$E$3:$E$835,$C$3:$C$835,$A$3:$A$835,$D$3:$D$835)),2,0)</f>
        <v>VINESH</v>
      </c>
      <c r="P88" s="131">
        <f t="array" ref="P88">HLOOKUP($N88,TRANSPOSE(CHOOSE({1,2,3,4,5,6},$F$3:$F$835,$B$3:$B$835,$E$3:$E$835,$C$3:$C$835,$A$3:$A$835,$D$3:$D$835)),3,0)</f>
        <v>4567</v>
      </c>
      <c r="Q88" s="131" t="str">
        <f t="array" ref="Q88">HLOOKUP($N88,TRANSPOSE(CHOOSE({1,2,3,4,5,6},$F$3:$F$835,$B$3:$B$835,$E$3:$E$835,$C$3:$C$835,$A$3:$A$835,$D$3:$D$835)),4,0)</f>
        <v>GVRM</v>
      </c>
      <c r="R88" s="131">
        <f t="array" ref="R88">HLOOKUP($N88,TRANSPOSE(CHOOSE({1,2,3,4,5,6},$F$3:$F$835,$B$3:$B$835,$E$3:$E$835,$C$3:$C$835,$A$3:$A$835,$D$3:$D$835)),1,0)</f>
        <v>301202</v>
      </c>
      <c r="S88" s="214" cm="1">
        <f t="array" ref="S88">HLOOKUP($N88,TRANSPOSE(CHOOSE({1,2,3,4,5,6},$F$3:$F$835,$B$3:$B$835,$E$3:$E$835,$C$3:$C$835,$A$3:$A$835,$D$3:$D$835)),5,0)</f>
        <v>43202</v>
      </c>
      <c r="T88" s="131" t="str">
        <f t="array" ref="T88">HLOOKUP($N88,TRANSPOSE(CHOOSE({1,2,3,4,5,6},$F$3:$F$835,$B$3:$B$835,$E$3:$E$835,$C$3:$C$835,$A$3:$A$835,$D$3:$D$835)),6,0)</f>
        <v>KL</v>
      </c>
      <c r="V88" s="22"/>
      <c r="W88" s="204"/>
    </row>
    <row r="89" spans="1:23" x14ac:dyDescent="0.35">
      <c r="A89" s="130">
        <v>42516</v>
      </c>
      <c r="B89" s="24" t="s">
        <v>309</v>
      </c>
      <c r="C89" s="24" t="s">
        <v>245</v>
      </c>
      <c r="D89" s="24" t="s">
        <v>281</v>
      </c>
      <c r="E89" s="24">
        <v>2194</v>
      </c>
      <c r="F89" s="24">
        <v>328571</v>
      </c>
      <c r="H89" s="24">
        <v>301203</v>
      </c>
      <c r="I89" s="131" t="str">
        <f t="array" ref="I89">VLOOKUP($H89,CHOOSE({1,2,3,4,5},$F$3:$F$835,$D$3:$D$835,$B$3:$B$835,$C$3:$C$835,$E$3:$E$835),2,0)</f>
        <v>KL</v>
      </c>
      <c r="J89" s="131" t="str">
        <f t="array" ref="J89">VLOOKUP($H89,CHOOSE({1,2,3,4,5},$F$3:$F$835,$D$3:$D$835,$B$3:$B$835,$C$3:$C$835,$E$3:$E$835),3,0)</f>
        <v>Sibinraj s</v>
      </c>
      <c r="K89" s="131" t="str">
        <f t="array" ref="K89">VLOOKUP($H89,CHOOSE({1,2,3,4,5},$F$3:$F$835,$D$3:$D$835,$B$3:$B$835,$C$3:$C$835,$E$3:$E$835),4,0)</f>
        <v>HECC</v>
      </c>
      <c r="L89" s="131">
        <f t="array" ref="L89">VLOOKUP($H89,CHOOSE({1,2,3,4,5},$F$3:$F$835,$D$3:$D$835,$B$3:$B$835,$C$3:$C$835,$E$3:$E$835),5,0)</f>
        <v>4383</v>
      </c>
      <c r="M89" s="134"/>
      <c r="N89" s="24">
        <v>301203</v>
      </c>
      <c r="O89" s="131" t="str">
        <f t="array" ref="O89">HLOOKUP($N89,TRANSPOSE(CHOOSE({1,2,3,4,5,6},$F$3:$F$835,$B$3:$B$835,$E$3:$E$835,$C$3:$C$835,$A$3:$A$835,$D$3:$D$835)),2,0)</f>
        <v>Sibinraj s</v>
      </c>
      <c r="P89" s="131">
        <f t="array" ref="P89">HLOOKUP($N89,TRANSPOSE(CHOOSE({1,2,3,4,5,6},$F$3:$F$835,$B$3:$B$835,$E$3:$E$835,$C$3:$C$835,$A$3:$A$835,$D$3:$D$835)),3,0)</f>
        <v>4383</v>
      </c>
      <c r="Q89" s="131" t="str">
        <f t="array" ref="Q89">HLOOKUP($N89,TRANSPOSE(CHOOSE({1,2,3,4,5,6},$F$3:$F$835,$B$3:$B$835,$E$3:$E$835,$C$3:$C$835,$A$3:$A$835,$D$3:$D$835)),4,0)</f>
        <v>HECC</v>
      </c>
      <c r="R89" s="131">
        <f t="array" ref="R89">HLOOKUP($N89,TRANSPOSE(CHOOSE({1,2,3,4,5,6},$F$3:$F$835,$B$3:$B$835,$E$3:$E$835,$C$3:$C$835,$A$3:$A$835,$D$3:$D$835)),1,0)</f>
        <v>301203</v>
      </c>
      <c r="S89" s="214" cm="1">
        <f t="array" ref="S89">HLOOKUP($N89,TRANSPOSE(CHOOSE({1,2,3,4,5,6},$F$3:$F$835,$B$3:$B$835,$E$3:$E$835,$C$3:$C$835,$A$3:$A$835,$D$3:$D$835)),5,0)</f>
        <v>43203</v>
      </c>
      <c r="T89" s="131" t="str">
        <f t="array" ref="T89">HLOOKUP($N89,TRANSPOSE(CHOOSE({1,2,3,4,5,6},$F$3:$F$835,$B$3:$B$835,$E$3:$E$835,$C$3:$C$835,$A$3:$A$835,$D$3:$D$835)),6,0)</f>
        <v>KL</v>
      </c>
      <c r="V89" s="22"/>
      <c r="W89" s="204"/>
    </row>
    <row r="90" spans="1:23" x14ac:dyDescent="0.35">
      <c r="A90" s="130">
        <v>42517</v>
      </c>
      <c r="B90" s="24" t="s">
        <v>309</v>
      </c>
      <c r="C90" s="24" t="s">
        <v>245</v>
      </c>
      <c r="D90" s="24" t="s">
        <v>281</v>
      </c>
      <c r="E90" s="24">
        <v>4896</v>
      </c>
      <c r="F90" s="24">
        <v>328626</v>
      </c>
      <c r="H90" s="24">
        <v>301204</v>
      </c>
      <c r="I90" s="131" t="str">
        <f t="array" ref="I90">VLOOKUP($H90,CHOOSE({1,2,3,4,5},$F$3:$F$835,$D$3:$D$835,$B$3:$B$835,$C$3:$C$835,$E$3:$E$835),2,0)</f>
        <v>KL</v>
      </c>
      <c r="J90" s="131" t="str">
        <f t="array" ref="J90">VLOOKUP($H90,CHOOSE({1,2,3,4,5},$F$3:$F$835,$D$3:$D$835,$B$3:$B$835,$C$3:$C$835,$E$3:$E$835),3,0)</f>
        <v>Ajith M</v>
      </c>
      <c r="K90" s="131" t="str">
        <f t="array" ref="K90">VLOOKUP($H90,CHOOSE({1,2,3,4,5},$F$3:$F$835,$D$3:$D$835,$B$3:$B$835,$C$3:$C$835,$E$3:$E$835),4,0)</f>
        <v>GVRM</v>
      </c>
      <c r="L90" s="131">
        <f t="array" ref="L90">VLOOKUP($H90,CHOOSE({1,2,3,4,5},$F$3:$F$835,$D$3:$D$835,$B$3:$B$835,$C$3:$C$835,$E$3:$E$835),5,0)</f>
        <v>2429</v>
      </c>
      <c r="M90" s="134"/>
      <c r="N90" s="24">
        <v>301204</v>
      </c>
      <c r="O90" s="131" t="str">
        <f t="array" ref="O90">HLOOKUP($N90,TRANSPOSE(CHOOSE({1,2,3,4,5,6},$F$3:$F$835,$B$3:$B$835,$E$3:$E$835,$C$3:$C$835,$A$3:$A$835,$D$3:$D$835)),2,0)</f>
        <v>Ajith M</v>
      </c>
      <c r="P90" s="131">
        <f t="array" ref="P90">HLOOKUP($N90,TRANSPOSE(CHOOSE({1,2,3,4,5,6},$F$3:$F$835,$B$3:$B$835,$E$3:$E$835,$C$3:$C$835,$A$3:$A$835,$D$3:$D$835)),3,0)</f>
        <v>2429</v>
      </c>
      <c r="Q90" s="131" t="str">
        <f t="array" ref="Q90">HLOOKUP($N90,TRANSPOSE(CHOOSE({1,2,3,4,5,6},$F$3:$F$835,$B$3:$B$835,$E$3:$E$835,$C$3:$C$835,$A$3:$A$835,$D$3:$D$835)),4,0)</f>
        <v>GVRM</v>
      </c>
      <c r="R90" s="131">
        <f t="array" ref="R90">HLOOKUP($N90,TRANSPOSE(CHOOSE({1,2,3,4,5,6},$F$3:$F$835,$B$3:$B$835,$E$3:$E$835,$C$3:$C$835,$A$3:$A$835,$D$3:$D$835)),1,0)</f>
        <v>301204</v>
      </c>
      <c r="S90" s="214" cm="1">
        <f t="array" ref="S90">HLOOKUP($N90,TRANSPOSE(CHOOSE({1,2,3,4,5,6},$F$3:$F$835,$B$3:$B$835,$E$3:$E$835,$C$3:$C$835,$A$3:$A$835,$D$3:$D$835)),5,0)</f>
        <v>43204</v>
      </c>
      <c r="T90" s="131" t="str">
        <f t="array" ref="T90">HLOOKUP($N90,TRANSPOSE(CHOOSE({1,2,3,4,5,6},$F$3:$F$835,$B$3:$B$835,$E$3:$E$835,$C$3:$C$835,$A$3:$A$835,$D$3:$D$835)),6,0)</f>
        <v>KL</v>
      </c>
      <c r="V90" s="22"/>
      <c r="W90" s="204"/>
    </row>
    <row r="91" spans="1:23" x14ac:dyDescent="0.35">
      <c r="A91" s="130">
        <v>42518</v>
      </c>
      <c r="B91" s="24" t="s">
        <v>310</v>
      </c>
      <c r="C91" s="24" t="s">
        <v>245</v>
      </c>
      <c r="D91" s="24" t="s">
        <v>281</v>
      </c>
      <c r="E91" s="24">
        <v>1996</v>
      </c>
      <c r="F91" s="24">
        <v>328637</v>
      </c>
      <c r="H91" s="24">
        <v>301205</v>
      </c>
      <c r="I91" s="131" t="str">
        <f t="array" ref="I91">VLOOKUP($H91,CHOOSE({1,2,3,4,5},$F$3:$F$835,$D$3:$D$835,$B$3:$B$835,$C$3:$C$835,$E$3:$E$835),2,0)</f>
        <v>KL</v>
      </c>
      <c r="J91" s="131" t="str">
        <f t="array" ref="J91">VLOOKUP($H91,CHOOSE({1,2,3,4,5},$F$3:$F$835,$D$3:$D$835,$B$3:$B$835,$C$3:$C$835,$E$3:$E$835),3,0)</f>
        <v>Ajith M</v>
      </c>
      <c r="K91" s="131" t="str">
        <f t="array" ref="K91">VLOOKUP($H91,CHOOSE({1,2,3,4,5},$F$3:$F$835,$D$3:$D$835,$B$3:$B$835,$C$3:$C$835,$E$3:$E$835),4,0)</f>
        <v>GVRM</v>
      </c>
      <c r="L91" s="131">
        <f t="array" ref="L91">VLOOKUP($H91,CHOOSE({1,2,3,4,5},$F$3:$F$835,$D$3:$D$835,$B$3:$B$835,$C$3:$C$835,$E$3:$E$835),5,0)</f>
        <v>4512</v>
      </c>
      <c r="M91" s="134"/>
      <c r="N91" s="24">
        <v>301205</v>
      </c>
      <c r="O91" s="131" t="str">
        <f t="array" ref="O91">HLOOKUP($N91,TRANSPOSE(CHOOSE({1,2,3,4,5,6},$F$3:$F$835,$B$3:$B$835,$E$3:$E$835,$C$3:$C$835,$A$3:$A$835,$D$3:$D$835)),2,0)</f>
        <v>Ajith M</v>
      </c>
      <c r="P91" s="131">
        <f t="array" ref="P91">HLOOKUP($N91,TRANSPOSE(CHOOSE({1,2,3,4,5,6},$F$3:$F$835,$B$3:$B$835,$E$3:$E$835,$C$3:$C$835,$A$3:$A$835,$D$3:$D$835)),3,0)</f>
        <v>4512</v>
      </c>
      <c r="Q91" s="131" t="str">
        <f t="array" ref="Q91">HLOOKUP($N91,TRANSPOSE(CHOOSE({1,2,3,4,5,6},$F$3:$F$835,$B$3:$B$835,$E$3:$E$835,$C$3:$C$835,$A$3:$A$835,$D$3:$D$835)),4,0)</f>
        <v>GVRM</v>
      </c>
      <c r="R91" s="131">
        <f t="array" ref="R91">HLOOKUP($N91,TRANSPOSE(CHOOSE({1,2,3,4,5,6},$F$3:$F$835,$B$3:$B$835,$E$3:$E$835,$C$3:$C$835,$A$3:$A$835,$D$3:$D$835)),1,0)</f>
        <v>301205</v>
      </c>
      <c r="S91" s="214" cm="1">
        <f t="array" ref="S91">HLOOKUP($N91,TRANSPOSE(CHOOSE({1,2,3,4,5,6},$F$3:$F$835,$B$3:$B$835,$E$3:$E$835,$C$3:$C$835,$A$3:$A$835,$D$3:$D$835)),5,0)</f>
        <v>43205</v>
      </c>
      <c r="T91" s="131" t="str">
        <f t="array" ref="T91">HLOOKUP($N91,TRANSPOSE(CHOOSE({1,2,3,4,5,6},$F$3:$F$835,$B$3:$B$835,$E$3:$E$835,$C$3:$C$835,$A$3:$A$835,$D$3:$D$835)),6,0)</f>
        <v>KL</v>
      </c>
      <c r="V91" s="22"/>
      <c r="W91" s="204"/>
    </row>
    <row r="92" spans="1:23" x14ac:dyDescent="0.35">
      <c r="A92" s="130">
        <v>42519</v>
      </c>
      <c r="B92" s="24" t="s">
        <v>310</v>
      </c>
      <c r="C92" s="24" t="s">
        <v>245</v>
      </c>
      <c r="D92" s="24" t="s">
        <v>281</v>
      </c>
      <c r="E92" s="24">
        <v>4212</v>
      </c>
      <c r="F92" s="24">
        <v>328643</v>
      </c>
      <c r="H92" s="24">
        <v>301206</v>
      </c>
      <c r="I92" s="131" t="str">
        <f t="array" ref="I92">VLOOKUP($H92,CHOOSE({1,2,3,4,5},$F$3:$F$835,$D$3:$D$835,$B$3:$B$835,$C$3:$C$835,$E$3:$E$835),2,0)</f>
        <v>KL</v>
      </c>
      <c r="J92" s="131" t="str">
        <f t="array" ref="J92">VLOOKUP($H92,CHOOSE({1,2,3,4,5},$F$3:$F$835,$D$3:$D$835,$B$3:$B$835,$C$3:$C$835,$E$3:$E$835),3,0)</f>
        <v>Mohammed Rafeeque Kv</v>
      </c>
      <c r="K92" s="131" t="str">
        <f t="array" ref="K92">VLOOKUP($H92,CHOOSE({1,2,3,4,5},$F$3:$F$835,$D$3:$D$835,$B$3:$B$835,$C$3:$C$835,$E$3:$E$835),4,0)</f>
        <v>HECC</v>
      </c>
      <c r="L92" s="131">
        <f t="array" ref="L92">VLOOKUP($H92,CHOOSE({1,2,3,4,5},$F$3:$F$835,$D$3:$D$835,$B$3:$B$835,$C$3:$C$835,$E$3:$E$835),5,0)</f>
        <v>3805</v>
      </c>
      <c r="M92" s="134"/>
      <c r="N92" s="24">
        <v>301206</v>
      </c>
      <c r="O92" s="131" t="str">
        <f t="array" ref="O92">HLOOKUP($N92,TRANSPOSE(CHOOSE({1,2,3,4,5,6},$F$3:$F$835,$B$3:$B$835,$E$3:$E$835,$C$3:$C$835,$A$3:$A$835,$D$3:$D$835)),2,0)</f>
        <v>Mohammed Rafeeque Kv</v>
      </c>
      <c r="P92" s="131">
        <f t="array" ref="P92">HLOOKUP($N92,TRANSPOSE(CHOOSE({1,2,3,4,5,6},$F$3:$F$835,$B$3:$B$835,$E$3:$E$835,$C$3:$C$835,$A$3:$A$835,$D$3:$D$835)),3,0)</f>
        <v>3805</v>
      </c>
      <c r="Q92" s="131" t="str">
        <f t="array" ref="Q92">HLOOKUP($N92,TRANSPOSE(CHOOSE({1,2,3,4,5,6},$F$3:$F$835,$B$3:$B$835,$E$3:$E$835,$C$3:$C$835,$A$3:$A$835,$D$3:$D$835)),4,0)</f>
        <v>HECC</v>
      </c>
      <c r="R92" s="131">
        <f t="array" ref="R92">HLOOKUP($N92,TRANSPOSE(CHOOSE({1,2,3,4,5,6},$F$3:$F$835,$B$3:$B$835,$E$3:$E$835,$C$3:$C$835,$A$3:$A$835,$D$3:$D$835)),1,0)</f>
        <v>301206</v>
      </c>
      <c r="S92" s="214" cm="1">
        <f t="array" ref="S92">HLOOKUP($N92,TRANSPOSE(CHOOSE({1,2,3,4,5,6},$F$3:$F$835,$B$3:$B$835,$E$3:$E$835,$C$3:$C$835,$A$3:$A$835,$D$3:$D$835)),5,0)</f>
        <v>43206</v>
      </c>
      <c r="T92" s="131" t="str">
        <f t="array" ref="T92">HLOOKUP($N92,TRANSPOSE(CHOOSE({1,2,3,4,5,6},$F$3:$F$835,$B$3:$B$835,$E$3:$E$835,$C$3:$C$835,$A$3:$A$835,$D$3:$D$835)),6,0)</f>
        <v>KL</v>
      </c>
      <c r="V92" s="22"/>
      <c r="W92" s="204"/>
    </row>
    <row r="93" spans="1:23" x14ac:dyDescent="0.35">
      <c r="A93" s="130">
        <v>42520</v>
      </c>
      <c r="B93" s="24" t="s">
        <v>311</v>
      </c>
      <c r="C93" s="24" t="s">
        <v>245</v>
      </c>
      <c r="D93" s="24" t="s">
        <v>281</v>
      </c>
      <c r="E93" s="24">
        <v>4120</v>
      </c>
      <c r="F93" s="24">
        <v>328647</v>
      </c>
      <c r="H93" s="24">
        <v>301207</v>
      </c>
      <c r="I93" s="131" t="str">
        <f t="array" ref="I93">VLOOKUP($H93,CHOOSE({1,2,3,4,5},$F$3:$F$835,$D$3:$D$835,$B$3:$B$835,$C$3:$C$835,$E$3:$E$835),2,0)</f>
        <v>KL</v>
      </c>
      <c r="J93" s="131" t="str">
        <f t="array" ref="J93">VLOOKUP($H93,CHOOSE({1,2,3,4,5},$F$3:$F$835,$D$3:$D$835,$B$3:$B$835,$C$3:$C$835,$E$3:$E$835),3,0)</f>
        <v>Reshma M Mohan</v>
      </c>
      <c r="K93" s="131" t="str">
        <f t="array" ref="K93">VLOOKUP($H93,CHOOSE({1,2,3,4,5},$F$3:$F$835,$D$3:$D$835,$B$3:$B$835,$C$3:$C$835,$E$3:$E$835),4,0)</f>
        <v>HECC</v>
      </c>
      <c r="L93" s="131">
        <f t="array" ref="L93">VLOOKUP($H93,CHOOSE({1,2,3,4,5},$F$3:$F$835,$D$3:$D$835,$B$3:$B$835,$C$3:$C$835,$E$3:$E$835),5,0)</f>
        <v>3853</v>
      </c>
      <c r="M93" s="134"/>
      <c r="N93" s="24">
        <v>301207</v>
      </c>
      <c r="O93" s="131" t="str">
        <f t="array" ref="O93">HLOOKUP($N93,TRANSPOSE(CHOOSE({1,2,3,4,5,6},$F$3:$F$835,$B$3:$B$835,$E$3:$E$835,$C$3:$C$835,$A$3:$A$835,$D$3:$D$835)),2,0)</f>
        <v>Reshma M Mohan</v>
      </c>
      <c r="P93" s="131">
        <f t="array" ref="P93">HLOOKUP($N93,TRANSPOSE(CHOOSE({1,2,3,4,5,6},$F$3:$F$835,$B$3:$B$835,$E$3:$E$835,$C$3:$C$835,$A$3:$A$835,$D$3:$D$835)),3,0)</f>
        <v>3853</v>
      </c>
      <c r="Q93" s="131" t="str">
        <f t="array" ref="Q93">HLOOKUP($N93,TRANSPOSE(CHOOSE({1,2,3,4,5,6},$F$3:$F$835,$B$3:$B$835,$E$3:$E$835,$C$3:$C$835,$A$3:$A$835,$D$3:$D$835)),4,0)</f>
        <v>HECC</v>
      </c>
      <c r="R93" s="131">
        <f t="array" ref="R93">HLOOKUP($N93,TRANSPOSE(CHOOSE({1,2,3,4,5,6},$F$3:$F$835,$B$3:$B$835,$E$3:$E$835,$C$3:$C$835,$A$3:$A$835,$D$3:$D$835)),1,0)</f>
        <v>301207</v>
      </c>
      <c r="S93" s="214" cm="1">
        <f t="array" ref="S93">HLOOKUP($N93,TRANSPOSE(CHOOSE({1,2,3,4,5,6},$F$3:$F$835,$B$3:$B$835,$E$3:$E$835,$C$3:$C$835,$A$3:$A$835,$D$3:$D$835)),5,0)</f>
        <v>43207</v>
      </c>
      <c r="T93" s="131" t="str">
        <f t="array" ref="T93">HLOOKUP($N93,TRANSPOSE(CHOOSE({1,2,3,4,5,6},$F$3:$F$835,$B$3:$B$835,$E$3:$E$835,$C$3:$C$835,$A$3:$A$835,$D$3:$D$835)),6,0)</f>
        <v>KL</v>
      </c>
      <c r="V93" s="22"/>
      <c r="W93" s="204"/>
    </row>
    <row r="94" spans="1:23" x14ac:dyDescent="0.35">
      <c r="A94" s="130">
        <v>42521</v>
      </c>
      <c r="B94" s="24" t="s">
        <v>311</v>
      </c>
      <c r="C94" s="24" t="s">
        <v>245</v>
      </c>
      <c r="D94" s="24" t="s">
        <v>281</v>
      </c>
      <c r="E94" s="24">
        <v>1591</v>
      </c>
      <c r="F94" s="24">
        <v>328665</v>
      </c>
      <c r="H94" s="24">
        <v>301208</v>
      </c>
      <c r="I94" s="131" t="str">
        <f t="array" ref="I94">VLOOKUP($H94,CHOOSE({1,2,3,4,5},$F$3:$F$835,$D$3:$D$835,$B$3:$B$835,$C$3:$C$835,$E$3:$E$835),2,0)</f>
        <v>KL</v>
      </c>
      <c r="J94" s="131" t="str">
        <f t="array" ref="J94">VLOOKUP($H94,CHOOSE({1,2,3,4,5},$F$3:$F$835,$D$3:$D$835,$B$3:$B$835,$C$3:$C$835,$E$3:$E$835),3,0)</f>
        <v>Edwin Arun Das S</v>
      </c>
      <c r="K94" s="131" t="str">
        <f t="array" ref="K94">VLOOKUP($H94,CHOOSE({1,2,3,4,5},$F$3:$F$835,$D$3:$D$835,$B$3:$B$835,$C$3:$C$835,$E$3:$E$835),4,0)</f>
        <v>HECC</v>
      </c>
      <c r="L94" s="131">
        <f t="array" ref="L94">VLOOKUP($H94,CHOOSE({1,2,3,4,5},$F$3:$F$835,$D$3:$D$835,$B$3:$B$835,$C$3:$C$835,$E$3:$E$835),5,0)</f>
        <v>3476</v>
      </c>
      <c r="M94" s="134"/>
      <c r="N94" s="24">
        <v>301208</v>
      </c>
      <c r="O94" s="131" t="str">
        <f t="array" ref="O94">HLOOKUP($N94,TRANSPOSE(CHOOSE({1,2,3,4,5,6},$F$3:$F$835,$B$3:$B$835,$E$3:$E$835,$C$3:$C$835,$A$3:$A$835,$D$3:$D$835)),2,0)</f>
        <v>Edwin Arun Das S</v>
      </c>
      <c r="P94" s="131">
        <f t="array" ref="P94">HLOOKUP($N94,TRANSPOSE(CHOOSE({1,2,3,4,5,6},$F$3:$F$835,$B$3:$B$835,$E$3:$E$835,$C$3:$C$835,$A$3:$A$835,$D$3:$D$835)),3,0)</f>
        <v>3476</v>
      </c>
      <c r="Q94" s="131" t="str">
        <f t="array" ref="Q94">HLOOKUP($N94,TRANSPOSE(CHOOSE({1,2,3,4,5,6},$F$3:$F$835,$B$3:$B$835,$E$3:$E$835,$C$3:$C$835,$A$3:$A$835,$D$3:$D$835)),4,0)</f>
        <v>HECC</v>
      </c>
      <c r="R94" s="131">
        <f t="array" ref="R94">HLOOKUP($N94,TRANSPOSE(CHOOSE({1,2,3,4,5,6},$F$3:$F$835,$B$3:$B$835,$E$3:$E$835,$C$3:$C$835,$A$3:$A$835,$D$3:$D$835)),1,0)</f>
        <v>301208</v>
      </c>
      <c r="S94" s="214" cm="1">
        <f t="array" ref="S94">HLOOKUP($N94,TRANSPOSE(CHOOSE({1,2,3,4,5,6},$F$3:$F$835,$B$3:$B$835,$E$3:$E$835,$C$3:$C$835,$A$3:$A$835,$D$3:$D$835)),5,0)</f>
        <v>43208</v>
      </c>
      <c r="T94" s="131" t="str">
        <f t="array" ref="T94">HLOOKUP($N94,TRANSPOSE(CHOOSE({1,2,3,4,5,6},$F$3:$F$835,$B$3:$B$835,$E$3:$E$835,$C$3:$C$835,$A$3:$A$835,$D$3:$D$835)),6,0)</f>
        <v>KL</v>
      </c>
      <c r="V94" s="22"/>
      <c r="W94" s="204"/>
    </row>
    <row r="95" spans="1:23" x14ac:dyDescent="0.35">
      <c r="A95" s="130">
        <v>42522</v>
      </c>
      <c r="B95" s="24" t="s">
        <v>312</v>
      </c>
      <c r="C95" s="24" t="s">
        <v>245</v>
      </c>
      <c r="D95" s="24" t="s">
        <v>281</v>
      </c>
      <c r="E95" s="24">
        <v>4842</v>
      </c>
      <c r="F95" s="24">
        <v>328698</v>
      </c>
      <c r="H95" s="24">
        <v>301209</v>
      </c>
      <c r="I95" s="131" t="str">
        <f t="array" ref="I95">VLOOKUP($H95,CHOOSE({1,2,3,4,5},$F$3:$F$835,$D$3:$D$835,$B$3:$B$835,$C$3:$C$835,$E$3:$E$835),2,0)</f>
        <v>KL</v>
      </c>
      <c r="J95" s="131" t="str">
        <f t="array" ref="J95">VLOOKUP($H95,CHOOSE({1,2,3,4,5},$F$3:$F$835,$D$3:$D$835,$B$3:$B$835,$C$3:$C$835,$E$3:$E$835),3,0)</f>
        <v>Sanjan Samuel</v>
      </c>
      <c r="K95" s="131" t="str">
        <f t="array" ref="K95">VLOOKUP($H95,CHOOSE({1,2,3,4,5},$F$3:$F$835,$D$3:$D$835,$B$3:$B$835,$C$3:$C$835,$E$3:$E$835),4,0)</f>
        <v>HECC</v>
      </c>
      <c r="L95" s="131">
        <f t="array" ref="L95">VLOOKUP($H95,CHOOSE({1,2,3,4,5},$F$3:$F$835,$D$3:$D$835,$B$3:$B$835,$C$3:$C$835,$E$3:$E$835),5,0)</f>
        <v>1100</v>
      </c>
      <c r="M95" s="134"/>
      <c r="N95" s="24">
        <v>301209</v>
      </c>
      <c r="O95" s="131" t="str">
        <f t="array" ref="O95">HLOOKUP($N95,TRANSPOSE(CHOOSE({1,2,3,4,5,6},$F$3:$F$835,$B$3:$B$835,$E$3:$E$835,$C$3:$C$835,$A$3:$A$835,$D$3:$D$835)),2,0)</f>
        <v>Sanjan Samuel</v>
      </c>
      <c r="P95" s="131">
        <f t="array" ref="P95">HLOOKUP($N95,TRANSPOSE(CHOOSE({1,2,3,4,5,6},$F$3:$F$835,$B$3:$B$835,$E$3:$E$835,$C$3:$C$835,$A$3:$A$835,$D$3:$D$835)),3,0)</f>
        <v>1100</v>
      </c>
      <c r="Q95" s="131" t="str">
        <f t="array" ref="Q95">HLOOKUP($N95,TRANSPOSE(CHOOSE({1,2,3,4,5,6},$F$3:$F$835,$B$3:$B$835,$E$3:$E$835,$C$3:$C$835,$A$3:$A$835,$D$3:$D$835)),4,0)</f>
        <v>HECC</v>
      </c>
      <c r="R95" s="131">
        <f t="array" ref="R95">HLOOKUP($N95,TRANSPOSE(CHOOSE({1,2,3,4,5,6},$F$3:$F$835,$B$3:$B$835,$E$3:$E$835,$C$3:$C$835,$A$3:$A$835,$D$3:$D$835)),1,0)</f>
        <v>301209</v>
      </c>
      <c r="S95" s="214" cm="1">
        <f t="array" ref="S95">HLOOKUP($N95,TRANSPOSE(CHOOSE({1,2,3,4,5,6},$F$3:$F$835,$B$3:$B$835,$E$3:$E$835,$C$3:$C$835,$A$3:$A$835,$D$3:$D$835)),5,0)</f>
        <v>43209</v>
      </c>
      <c r="T95" s="131" t="str">
        <f t="array" ref="T95">HLOOKUP($N95,TRANSPOSE(CHOOSE({1,2,3,4,5,6},$F$3:$F$835,$B$3:$B$835,$E$3:$E$835,$C$3:$C$835,$A$3:$A$835,$D$3:$D$835)),6,0)</f>
        <v>KL</v>
      </c>
      <c r="V95" s="22"/>
      <c r="W95" s="204"/>
    </row>
    <row r="96" spans="1:23" x14ac:dyDescent="0.35">
      <c r="A96" s="130">
        <v>42523</v>
      </c>
      <c r="B96" s="24" t="s">
        <v>124</v>
      </c>
      <c r="C96" s="24" t="s">
        <v>245</v>
      </c>
      <c r="D96" s="24" t="s">
        <v>281</v>
      </c>
      <c r="E96" s="24">
        <v>4905</v>
      </c>
      <c r="F96" s="24">
        <v>328710</v>
      </c>
      <c r="H96" s="24">
        <v>301210</v>
      </c>
      <c r="I96" s="131" t="str">
        <f t="array" ref="I96">VLOOKUP($H96,CHOOSE({1,2,3,4,5},$F$3:$F$835,$D$3:$D$835,$B$3:$B$835,$C$3:$C$835,$E$3:$E$835),2,0)</f>
        <v>KL</v>
      </c>
      <c r="J96" s="131" t="str">
        <f t="array" ref="J96">VLOOKUP($H96,CHOOSE({1,2,3,4,5},$F$3:$F$835,$D$3:$D$835,$B$3:$B$835,$C$3:$C$835,$E$3:$E$835),3,0)</f>
        <v>Jeevitha T</v>
      </c>
      <c r="K96" s="131" t="str">
        <f t="array" ref="K96">VLOOKUP($H96,CHOOSE({1,2,3,4,5},$F$3:$F$835,$D$3:$D$835,$B$3:$B$835,$C$3:$C$835,$E$3:$E$835),4,0)</f>
        <v>HECC</v>
      </c>
      <c r="L96" s="131">
        <f t="array" ref="L96">VLOOKUP($H96,CHOOSE({1,2,3,4,5},$F$3:$F$835,$D$3:$D$835,$B$3:$B$835,$C$3:$C$835,$E$3:$E$835),5,0)</f>
        <v>4127</v>
      </c>
      <c r="M96" s="134"/>
      <c r="N96" s="24">
        <v>301210</v>
      </c>
      <c r="O96" s="131" t="str">
        <f t="array" ref="O96">HLOOKUP($N96,TRANSPOSE(CHOOSE({1,2,3,4,5,6},$F$3:$F$835,$B$3:$B$835,$E$3:$E$835,$C$3:$C$835,$A$3:$A$835,$D$3:$D$835)),2,0)</f>
        <v>Jeevitha T</v>
      </c>
      <c r="P96" s="131">
        <f t="array" ref="P96">HLOOKUP($N96,TRANSPOSE(CHOOSE({1,2,3,4,5,6},$F$3:$F$835,$B$3:$B$835,$E$3:$E$835,$C$3:$C$835,$A$3:$A$835,$D$3:$D$835)),3,0)</f>
        <v>4127</v>
      </c>
      <c r="Q96" s="131" t="str">
        <f t="array" ref="Q96">HLOOKUP($N96,TRANSPOSE(CHOOSE({1,2,3,4,5,6},$F$3:$F$835,$B$3:$B$835,$E$3:$E$835,$C$3:$C$835,$A$3:$A$835,$D$3:$D$835)),4,0)</f>
        <v>HECC</v>
      </c>
      <c r="R96" s="131">
        <f t="array" ref="R96">HLOOKUP($N96,TRANSPOSE(CHOOSE({1,2,3,4,5,6},$F$3:$F$835,$B$3:$B$835,$E$3:$E$835,$C$3:$C$835,$A$3:$A$835,$D$3:$D$835)),1,0)</f>
        <v>301210</v>
      </c>
      <c r="S96" s="214" cm="1">
        <f t="array" ref="S96">HLOOKUP($N96,TRANSPOSE(CHOOSE({1,2,3,4,5,6},$F$3:$F$835,$B$3:$B$835,$E$3:$E$835,$C$3:$C$835,$A$3:$A$835,$D$3:$D$835)),5,0)</f>
        <v>43210</v>
      </c>
      <c r="T96" s="131" t="str">
        <f t="array" ref="T96">HLOOKUP($N96,TRANSPOSE(CHOOSE({1,2,3,4,5,6},$F$3:$F$835,$B$3:$B$835,$E$3:$E$835,$C$3:$C$835,$A$3:$A$835,$D$3:$D$835)),6,0)</f>
        <v>KL</v>
      </c>
      <c r="V96" s="22"/>
      <c r="W96" s="204"/>
    </row>
    <row r="97" spans="1:23" x14ac:dyDescent="0.35">
      <c r="A97" s="130">
        <v>42524</v>
      </c>
      <c r="B97" s="24" t="s">
        <v>124</v>
      </c>
      <c r="C97" s="24" t="s">
        <v>245</v>
      </c>
      <c r="D97" s="24" t="s">
        <v>281</v>
      </c>
      <c r="E97" s="24">
        <v>1200</v>
      </c>
      <c r="F97" s="24">
        <v>328714</v>
      </c>
      <c r="H97" s="24">
        <v>301211</v>
      </c>
      <c r="I97" s="131" t="str">
        <f t="array" ref="I97">VLOOKUP($H97,CHOOSE({1,2,3,4,5},$F$3:$F$835,$D$3:$D$835,$B$3:$B$835,$C$3:$C$835,$E$3:$E$835),2,0)</f>
        <v>KL</v>
      </c>
      <c r="J97" s="131" t="str">
        <f t="array" ref="J97">VLOOKUP($H97,CHOOSE({1,2,3,4,5},$F$3:$F$835,$D$3:$D$835,$B$3:$B$835,$C$3:$C$835,$E$3:$E$835),3,0)</f>
        <v>jerin john jacob</v>
      </c>
      <c r="K97" s="131" t="str">
        <f t="array" ref="K97">VLOOKUP($H97,CHOOSE({1,2,3,4,5},$F$3:$F$835,$D$3:$D$835,$B$3:$B$835,$C$3:$C$835,$E$3:$E$835),4,0)</f>
        <v>HECC</v>
      </c>
      <c r="L97" s="131">
        <f t="array" ref="L97">VLOOKUP($H97,CHOOSE({1,2,3,4,5},$F$3:$F$835,$D$3:$D$835,$B$3:$B$835,$C$3:$C$835,$E$3:$E$835),5,0)</f>
        <v>2820</v>
      </c>
      <c r="M97" s="134"/>
      <c r="N97" s="24">
        <v>301211</v>
      </c>
      <c r="O97" s="131" t="str">
        <f t="array" ref="O97">HLOOKUP($N97,TRANSPOSE(CHOOSE({1,2,3,4,5,6},$F$3:$F$835,$B$3:$B$835,$E$3:$E$835,$C$3:$C$835,$A$3:$A$835,$D$3:$D$835)),2,0)</f>
        <v>jerin john jacob</v>
      </c>
      <c r="P97" s="131">
        <f t="array" ref="P97">HLOOKUP($N97,TRANSPOSE(CHOOSE({1,2,3,4,5,6},$F$3:$F$835,$B$3:$B$835,$E$3:$E$835,$C$3:$C$835,$A$3:$A$835,$D$3:$D$835)),3,0)</f>
        <v>2820</v>
      </c>
      <c r="Q97" s="131" t="str">
        <f t="array" ref="Q97">HLOOKUP($N97,TRANSPOSE(CHOOSE({1,2,3,4,5,6},$F$3:$F$835,$B$3:$B$835,$E$3:$E$835,$C$3:$C$835,$A$3:$A$835,$D$3:$D$835)),4,0)</f>
        <v>HECC</v>
      </c>
      <c r="R97" s="131">
        <f t="array" ref="R97">HLOOKUP($N97,TRANSPOSE(CHOOSE({1,2,3,4,5,6},$F$3:$F$835,$B$3:$B$835,$E$3:$E$835,$C$3:$C$835,$A$3:$A$835,$D$3:$D$835)),1,0)</f>
        <v>301211</v>
      </c>
      <c r="S97" s="214" cm="1">
        <f t="array" ref="S97">HLOOKUP($N97,TRANSPOSE(CHOOSE({1,2,3,4,5,6},$F$3:$F$835,$B$3:$B$835,$E$3:$E$835,$C$3:$C$835,$A$3:$A$835,$D$3:$D$835)),5,0)</f>
        <v>43211</v>
      </c>
      <c r="T97" s="131" t="str">
        <f t="array" ref="T97">HLOOKUP($N97,TRANSPOSE(CHOOSE({1,2,3,4,5,6},$F$3:$F$835,$B$3:$B$835,$E$3:$E$835,$C$3:$C$835,$A$3:$A$835,$D$3:$D$835)),6,0)</f>
        <v>KL</v>
      </c>
      <c r="V97" s="22"/>
      <c r="W97" s="204"/>
    </row>
    <row r="98" spans="1:23" x14ac:dyDescent="0.35">
      <c r="A98" s="130">
        <v>42525</v>
      </c>
      <c r="B98" s="24" t="s">
        <v>313</v>
      </c>
      <c r="C98" s="24" t="s">
        <v>245</v>
      </c>
      <c r="D98" s="24" t="s">
        <v>281</v>
      </c>
      <c r="E98" s="24">
        <v>4820</v>
      </c>
      <c r="F98" s="24">
        <v>328717</v>
      </c>
      <c r="H98" s="24">
        <v>301212</v>
      </c>
      <c r="I98" s="131" t="str">
        <f t="array" ref="I98">VLOOKUP($H98,CHOOSE({1,2,3,4,5},$F$3:$F$835,$D$3:$D$835,$B$3:$B$835,$C$3:$C$835,$E$3:$E$835),2,0)</f>
        <v>KL</v>
      </c>
      <c r="J98" s="131" t="str">
        <f t="array" ref="J98">VLOOKUP($H98,CHOOSE({1,2,3,4,5},$F$3:$F$835,$D$3:$D$835,$B$3:$B$835,$C$3:$C$835,$E$3:$E$835),3,0)</f>
        <v>VIJITH  V V</v>
      </c>
      <c r="K98" s="131" t="str">
        <f t="array" ref="K98">VLOOKUP($H98,CHOOSE({1,2,3,4,5},$F$3:$F$835,$D$3:$D$835,$B$3:$B$835,$C$3:$C$835,$E$3:$E$835),4,0)</f>
        <v>HECC</v>
      </c>
      <c r="L98" s="131">
        <f t="array" ref="L98">VLOOKUP($H98,CHOOSE({1,2,3,4,5},$F$3:$F$835,$D$3:$D$835,$B$3:$B$835,$C$3:$C$835,$E$3:$E$835),5,0)</f>
        <v>2439</v>
      </c>
      <c r="M98" s="134"/>
      <c r="N98" s="24">
        <v>301212</v>
      </c>
      <c r="O98" s="131" t="str">
        <f t="array" ref="O98">HLOOKUP($N98,TRANSPOSE(CHOOSE({1,2,3,4,5,6},$F$3:$F$835,$B$3:$B$835,$E$3:$E$835,$C$3:$C$835,$A$3:$A$835,$D$3:$D$835)),2,0)</f>
        <v>VIJITH  V V</v>
      </c>
      <c r="P98" s="131">
        <f t="array" ref="P98">HLOOKUP($N98,TRANSPOSE(CHOOSE({1,2,3,4,5,6},$F$3:$F$835,$B$3:$B$835,$E$3:$E$835,$C$3:$C$835,$A$3:$A$835,$D$3:$D$835)),3,0)</f>
        <v>2439</v>
      </c>
      <c r="Q98" s="131" t="str">
        <f t="array" ref="Q98">HLOOKUP($N98,TRANSPOSE(CHOOSE({1,2,3,4,5,6},$F$3:$F$835,$B$3:$B$835,$E$3:$E$835,$C$3:$C$835,$A$3:$A$835,$D$3:$D$835)),4,0)</f>
        <v>HECC</v>
      </c>
      <c r="R98" s="131">
        <f t="array" ref="R98">HLOOKUP($N98,TRANSPOSE(CHOOSE({1,2,3,4,5,6},$F$3:$F$835,$B$3:$B$835,$E$3:$E$835,$C$3:$C$835,$A$3:$A$835,$D$3:$D$835)),1,0)</f>
        <v>301212</v>
      </c>
      <c r="S98" s="214" cm="1">
        <f t="array" ref="S98">HLOOKUP($N98,TRANSPOSE(CHOOSE({1,2,3,4,5,6},$F$3:$F$835,$B$3:$B$835,$E$3:$E$835,$C$3:$C$835,$A$3:$A$835,$D$3:$D$835)),5,0)</f>
        <v>43212</v>
      </c>
      <c r="T98" s="131" t="str">
        <f t="array" ref="T98">HLOOKUP($N98,TRANSPOSE(CHOOSE({1,2,3,4,5,6},$F$3:$F$835,$B$3:$B$835,$E$3:$E$835,$C$3:$C$835,$A$3:$A$835,$D$3:$D$835)),6,0)</f>
        <v>KL</v>
      </c>
      <c r="V98" s="22"/>
      <c r="W98" s="204"/>
    </row>
    <row r="99" spans="1:23" x14ac:dyDescent="0.35">
      <c r="A99" s="130">
        <v>42526</v>
      </c>
      <c r="B99" s="24" t="s">
        <v>313</v>
      </c>
      <c r="C99" s="24" t="s">
        <v>245</v>
      </c>
      <c r="D99" s="24" t="s">
        <v>281</v>
      </c>
      <c r="E99" s="24">
        <v>1043</v>
      </c>
      <c r="F99" s="24">
        <v>328720</v>
      </c>
      <c r="H99" s="24">
        <v>301213</v>
      </c>
      <c r="I99" s="131" t="str">
        <f t="array" ref="I99">VLOOKUP($H99,CHOOSE({1,2,3,4,5},$F$3:$F$835,$D$3:$D$835,$B$3:$B$835,$C$3:$C$835,$E$3:$E$835),2,0)</f>
        <v>KL</v>
      </c>
      <c r="J99" s="131" t="str">
        <f t="array" ref="J99">VLOOKUP($H99,CHOOSE({1,2,3,4,5},$F$3:$F$835,$D$3:$D$835,$B$3:$B$835,$C$3:$C$835,$E$3:$E$835),3,0)</f>
        <v>VIJITH  V V</v>
      </c>
      <c r="K99" s="131" t="str">
        <f t="array" ref="K99">VLOOKUP($H99,CHOOSE({1,2,3,4,5},$F$3:$F$835,$D$3:$D$835,$B$3:$B$835,$C$3:$C$835,$E$3:$E$835),4,0)</f>
        <v>HECC</v>
      </c>
      <c r="L99" s="131">
        <f t="array" ref="L99">VLOOKUP($H99,CHOOSE({1,2,3,4,5},$F$3:$F$835,$D$3:$D$835,$B$3:$B$835,$C$3:$C$835,$E$3:$E$835),5,0)</f>
        <v>3067</v>
      </c>
      <c r="M99" s="134"/>
      <c r="N99" s="24">
        <v>301213</v>
      </c>
      <c r="O99" s="131" t="str">
        <f t="array" ref="O99">HLOOKUP($N99,TRANSPOSE(CHOOSE({1,2,3,4,5,6},$F$3:$F$835,$B$3:$B$835,$E$3:$E$835,$C$3:$C$835,$A$3:$A$835,$D$3:$D$835)),2,0)</f>
        <v>VIJITH  V V</v>
      </c>
      <c r="P99" s="131">
        <f t="array" ref="P99">HLOOKUP($N99,TRANSPOSE(CHOOSE({1,2,3,4,5,6},$F$3:$F$835,$B$3:$B$835,$E$3:$E$835,$C$3:$C$835,$A$3:$A$835,$D$3:$D$835)),3,0)</f>
        <v>3067</v>
      </c>
      <c r="Q99" s="131" t="str">
        <f t="array" ref="Q99">HLOOKUP($N99,TRANSPOSE(CHOOSE({1,2,3,4,5,6},$F$3:$F$835,$B$3:$B$835,$E$3:$E$835,$C$3:$C$835,$A$3:$A$835,$D$3:$D$835)),4,0)</f>
        <v>HECC</v>
      </c>
      <c r="R99" s="131">
        <f t="array" ref="R99">HLOOKUP($N99,TRANSPOSE(CHOOSE({1,2,3,4,5,6},$F$3:$F$835,$B$3:$B$835,$E$3:$E$835,$C$3:$C$835,$A$3:$A$835,$D$3:$D$835)),1,0)</f>
        <v>301213</v>
      </c>
      <c r="S99" s="214" cm="1">
        <f t="array" ref="S99">HLOOKUP($N99,TRANSPOSE(CHOOSE({1,2,3,4,5,6},$F$3:$F$835,$B$3:$B$835,$E$3:$E$835,$C$3:$C$835,$A$3:$A$835,$D$3:$D$835)),5,0)</f>
        <v>43213</v>
      </c>
      <c r="T99" s="131" t="str">
        <f t="array" ref="T99">HLOOKUP($N99,TRANSPOSE(CHOOSE({1,2,3,4,5,6},$F$3:$F$835,$B$3:$B$835,$E$3:$E$835,$C$3:$C$835,$A$3:$A$835,$D$3:$D$835)),6,0)</f>
        <v>KL</v>
      </c>
      <c r="V99" s="22"/>
      <c r="W99" s="204"/>
    </row>
    <row r="100" spans="1:23" x14ac:dyDescent="0.35">
      <c r="A100" s="130">
        <v>42527</v>
      </c>
      <c r="B100" s="24" t="s">
        <v>314</v>
      </c>
      <c r="C100" s="24" t="s">
        <v>245</v>
      </c>
      <c r="D100" s="24" t="s">
        <v>281</v>
      </c>
      <c r="E100" s="24">
        <v>3444</v>
      </c>
      <c r="F100" s="24">
        <v>328726</v>
      </c>
      <c r="H100" s="24">
        <v>301214</v>
      </c>
      <c r="I100" s="131" t="str">
        <f t="array" ref="I100">VLOOKUP($H100,CHOOSE({1,2,3,4,5},$F$3:$F$835,$D$3:$D$835,$B$3:$B$835,$C$3:$C$835,$E$3:$E$835),2,0)</f>
        <v>KL</v>
      </c>
      <c r="J100" s="131" t="str">
        <f t="array" ref="J100">VLOOKUP($H100,CHOOSE({1,2,3,4,5},$F$3:$F$835,$D$3:$D$835,$B$3:$B$835,$C$3:$C$835,$E$3:$E$835),3,0)</f>
        <v>Vivek Raj PK</v>
      </c>
      <c r="K100" s="131" t="str">
        <f t="array" ref="K100">VLOOKUP($H100,CHOOSE({1,2,3,4,5},$F$3:$F$835,$D$3:$D$835,$B$3:$B$835,$C$3:$C$835,$E$3:$E$835),4,0)</f>
        <v>HECC</v>
      </c>
      <c r="L100" s="131">
        <f t="array" ref="L100">VLOOKUP($H100,CHOOSE({1,2,3,4,5},$F$3:$F$835,$D$3:$D$835,$B$3:$B$835,$C$3:$C$835,$E$3:$E$835),5,0)</f>
        <v>4659</v>
      </c>
      <c r="M100" s="134"/>
      <c r="N100" s="24">
        <v>301214</v>
      </c>
      <c r="O100" s="131" t="str">
        <f t="array" ref="O100">HLOOKUP($N100,TRANSPOSE(CHOOSE({1,2,3,4,5,6},$F$3:$F$835,$B$3:$B$835,$E$3:$E$835,$C$3:$C$835,$A$3:$A$835,$D$3:$D$835)),2,0)</f>
        <v>Vivek Raj PK</v>
      </c>
      <c r="P100" s="131">
        <f t="array" ref="P100">HLOOKUP($N100,TRANSPOSE(CHOOSE({1,2,3,4,5,6},$F$3:$F$835,$B$3:$B$835,$E$3:$E$835,$C$3:$C$835,$A$3:$A$835,$D$3:$D$835)),3,0)</f>
        <v>4659</v>
      </c>
      <c r="Q100" s="131" t="str">
        <f t="array" ref="Q100">HLOOKUP($N100,TRANSPOSE(CHOOSE({1,2,3,4,5,6},$F$3:$F$835,$B$3:$B$835,$E$3:$E$835,$C$3:$C$835,$A$3:$A$835,$D$3:$D$835)),4,0)</f>
        <v>HECC</v>
      </c>
      <c r="R100" s="131">
        <f t="array" ref="R100">HLOOKUP($N100,TRANSPOSE(CHOOSE({1,2,3,4,5,6},$F$3:$F$835,$B$3:$B$835,$E$3:$E$835,$C$3:$C$835,$A$3:$A$835,$D$3:$D$835)),1,0)</f>
        <v>301214</v>
      </c>
      <c r="S100" s="214" cm="1">
        <f t="array" ref="S100">HLOOKUP($N100,TRANSPOSE(CHOOSE({1,2,3,4,5,6},$F$3:$F$835,$B$3:$B$835,$E$3:$E$835,$C$3:$C$835,$A$3:$A$835,$D$3:$D$835)),5,0)</f>
        <v>43214</v>
      </c>
      <c r="T100" s="131" t="str">
        <f t="array" ref="T100">HLOOKUP($N100,TRANSPOSE(CHOOSE({1,2,3,4,5,6},$F$3:$F$835,$B$3:$B$835,$E$3:$E$835,$C$3:$C$835,$A$3:$A$835,$D$3:$D$835)),6,0)</f>
        <v>KL</v>
      </c>
      <c r="V100" s="22"/>
      <c r="W100" s="204"/>
    </row>
    <row r="101" spans="1:23" x14ac:dyDescent="0.35">
      <c r="A101" s="130">
        <v>42528</v>
      </c>
      <c r="B101" s="24" t="s">
        <v>314</v>
      </c>
      <c r="C101" s="24" t="s">
        <v>245</v>
      </c>
      <c r="D101" s="24" t="s">
        <v>281</v>
      </c>
      <c r="E101" s="24">
        <v>1187</v>
      </c>
      <c r="F101" s="24">
        <v>328745</v>
      </c>
      <c r="H101" s="24">
        <v>301215</v>
      </c>
      <c r="I101" s="131" t="str">
        <f t="array" ref="I101">VLOOKUP($H101,CHOOSE({1,2,3,4,5},$F$3:$F$835,$D$3:$D$835,$B$3:$B$835,$C$3:$C$835,$E$3:$E$835),2,0)</f>
        <v>KL</v>
      </c>
      <c r="J101" s="131" t="str">
        <f t="array" ref="J101">VLOOKUP($H101,CHOOSE({1,2,3,4,5},$F$3:$F$835,$D$3:$D$835,$B$3:$B$835,$C$3:$C$835,$E$3:$E$835),3,0)</f>
        <v>Vivek Raj PK</v>
      </c>
      <c r="K101" s="131" t="str">
        <f t="array" ref="K101">VLOOKUP($H101,CHOOSE({1,2,3,4,5},$F$3:$F$835,$D$3:$D$835,$B$3:$B$835,$C$3:$C$835,$E$3:$E$835),4,0)</f>
        <v>HECC</v>
      </c>
      <c r="L101" s="131">
        <f t="array" ref="L101">VLOOKUP($H101,CHOOSE({1,2,3,4,5},$F$3:$F$835,$D$3:$D$835,$B$3:$B$835,$C$3:$C$835,$E$3:$E$835),5,0)</f>
        <v>3662</v>
      </c>
      <c r="M101" s="134"/>
      <c r="N101" s="24">
        <v>301215</v>
      </c>
      <c r="O101" s="131" t="str">
        <f t="array" ref="O101">HLOOKUP($N101,TRANSPOSE(CHOOSE({1,2,3,4,5,6},$F$3:$F$835,$B$3:$B$835,$E$3:$E$835,$C$3:$C$835,$A$3:$A$835,$D$3:$D$835)),2,0)</f>
        <v>Vivek Raj PK</v>
      </c>
      <c r="P101" s="131">
        <f t="array" ref="P101">HLOOKUP($N101,TRANSPOSE(CHOOSE({1,2,3,4,5,6},$F$3:$F$835,$B$3:$B$835,$E$3:$E$835,$C$3:$C$835,$A$3:$A$835,$D$3:$D$835)),3,0)</f>
        <v>3662</v>
      </c>
      <c r="Q101" s="131" t="str">
        <f t="array" ref="Q101">HLOOKUP($N101,TRANSPOSE(CHOOSE({1,2,3,4,5,6},$F$3:$F$835,$B$3:$B$835,$E$3:$E$835,$C$3:$C$835,$A$3:$A$835,$D$3:$D$835)),4,0)</f>
        <v>HECC</v>
      </c>
      <c r="R101" s="131">
        <f t="array" ref="R101">HLOOKUP($N101,TRANSPOSE(CHOOSE({1,2,3,4,5,6},$F$3:$F$835,$B$3:$B$835,$E$3:$E$835,$C$3:$C$835,$A$3:$A$835,$D$3:$D$835)),1,0)</f>
        <v>301215</v>
      </c>
      <c r="S101" s="214" cm="1">
        <f t="array" ref="S101">HLOOKUP($N101,TRANSPOSE(CHOOSE({1,2,3,4,5,6},$F$3:$F$835,$B$3:$B$835,$E$3:$E$835,$C$3:$C$835,$A$3:$A$835,$D$3:$D$835)),5,0)</f>
        <v>43215</v>
      </c>
      <c r="T101" s="131" t="str">
        <f t="array" ref="T101">HLOOKUP($N101,TRANSPOSE(CHOOSE({1,2,3,4,5,6},$F$3:$F$835,$B$3:$B$835,$E$3:$E$835,$C$3:$C$835,$A$3:$A$835,$D$3:$D$835)),6,0)</f>
        <v>KL</v>
      </c>
      <c r="V101" s="22"/>
      <c r="W101" s="204"/>
    </row>
    <row r="102" spans="1:23" x14ac:dyDescent="0.35">
      <c r="A102" s="130">
        <v>42529</v>
      </c>
      <c r="B102" s="24" t="s">
        <v>315</v>
      </c>
      <c r="C102" s="24" t="s">
        <v>245</v>
      </c>
      <c r="D102" s="24" t="s">
        <v>281</v>
      </c>
      <c r="E102" s="24">
        <v>3767</v>
      </c>
      <c r="F102" s="24">
        <v>328749</v>
      </c>
      <c r="H102" s="24">
        <v>328896</v>
      </c>
      <c r="I102" s="131" t="str">
        <f t="array" ref="I102">VLOOKUP($H102,CHOOSE({1,2,3,4,5},$F$3:$F$835,$D$3:$D$835,$B$3:$B$835,$C$3:$C$835,$E$3:$E$835),2,0)</f>
        <v>KL</v>
      </c>
      <c r="J102" s="131" t="str">
        <f t="array" ref="J102">VLOOKUP($H102,CHOOSE({1,2,3,4,5},$F$3:$F$835,$D$3:$D$835,$B$3:$B$835,$C$3:$C$835,$E$3:$E$835),3,0)</f>
        <v>Manu Ashok</v>
      </c>
      <c r="K102" s="131" t="str">
        <f t="array" ref="K102">VLOOKUP($H102,CHOOSE({1,2,3,4,5},$F$3:$F$835,$D$3:$D$835,$B$3:$B$835,$C$3:$C$835,$E$3:$E$835),4,0)</f>
        <v>HECC</v>
      </c>
      <c r="L102" s="131">
        <f t="array" ref="L102">VLOOKUP($H102,CHOOSE({1,2,3,4,5},$F$3:$F$835,$D$3:$D$835,$B$3:$B$835,$C$3:$C$835,$E$3:$E$835),5,0)</f>
        <v>2061</v>
      </c>
      <c r="M102" s="134"/>
      <c r="N102" s="24">
        <v>328896</v>
      </c>
      <c r="O102" s="131" t="str">
        <f t="array" ref="O102">HLOOKUP($N102,TRANSPOSE(CHOOSE({1,2,3,4,5,6},$F$3:$F$835,$B$3:$B$835,$E$3:$E$835,$C$3:$C$835,$A$3:$A$835,$D$3:$D$835)),2,0)</f>
        <v>Manu Ashok</v>
      </c>
      <c r="P102" s="131">
        <f t="array" ref="P102">HLOOKUP($N102,TRANSPOSE(CHOOSE({1,2,3,4,5,6},$F$3:$F$835,$B$3:$B$835,$E$3:$E$835,$C$3:$C$835,$A$3:$A$835,$D$3:$D$835)),3,0)</f>
        <v>2061</v>
      </c>
      <c r="Q102" s="131" t="str">
        <f t="array" ref="Q102">HLOOKUP($N102,TRANSPOSE(CHOOSE({1,2,3,4,5,6},$F$3:$F$835,$B$3:$B$835,$E$3:$E$835,$C$3:$C$835,$A$3:$A$835,$D$3:$D$835)),4,0)</f>
        <v>HECC</v>
      </c>
      <c r="R102" s="131">
        <f t="array" ref="R102">HLOOKUP($N102,TRANSPOSE(CHOOSE({1,2,3,4,5,6},$F$3:$F$835,$B$3:$B$835,$E$3:$E$835,$C$3:$C$835,$A$3:$A$835,$D$3:$D$835)),1,0)</f>
        <v>328896</v>
      </c>
      <c r="S102" s="214" cm="1">
        <f t="array" ref="S102">HLOOKUP($N102,TRANSPOSE(CHOOSE({1,2,3,4,5,6},$F$3:$F$835,$B$3:$B$835,$E$3:$E$835,$C$3:$C$835,$A$3:$A$835,$D$3:$D$835)),5,0)</f>
        <v>43216</v>
      </c>
      <c r="T102" s="131" t="str">
        <f t="array" ref="T102">HLOOKUP($N102,TRANSPOSE(CHOOSE({1,2,3,4,5,6},$F$3:$F$835,$B$3:$B$835,$E$3:$E$835,$C$3:$C$835,$A$3:$A$835,$D$3:$D$835)),6,0)</f>
        <v>KL</v>
      </c>
      <c r="V102" s="22"/>
      <c r="W102" s="204"/>
    </row>
    <row r="103" spans="1:23" x14ac:dyDescent="0.35">
      <c r="A103" s="130">
        <v>42530</v>
      </c>
      <c r="B103" s="24" t="s">
        <v>315</v>
      </c>
      <c r="C103" s="24" t="s">
        <v>245</v>
      </c>
      <c r="D103" s="24" t="s">
        <v>281</v>
      </c>
      <c r="E103" s="24">
        <v>3111</v>
      </c>
      <c r="F103" s="24">
        <v>328786</v>
      </c>
      <c r="H103" s="24">
        <v>336641</v>
      </c>
      <c r="I103" s="131" t="str">
        <f t="array" ref="I103">VLOOKUP($H103,CHOOSE({1,2,3,4,5},$F$3:$F$835,$D$3:$D$835,$B$3:$B$835,$C$3:$C$835,$E$3:$E$835),2,0)</f>
        <v>RJ</v>
      </c>
      <c r="J103" s="131" t="str">
        <f t="array" ref="J103">VLOOKUP($H103,CHOOSE({1,2,3,4,5},$F$3:$F$835,$D$3:$D$835,$B$3:$B$835,$C$3:$C$835,$E$3:$E$835),3,0)</f>
        <v>Bhav</v>
      </c>
      <c r="K103" s="131" t="str">
        <f t="array" ref="K103">VLOOKUP($H103,CHOOSE({1,2,3,4,5},$F$3:$F$835,$D$3:$D$835,$B$3:$B$835,$C$3:$C$835,$E$3:$E$835),4,0)</f>
        <v>HECC</v>
      </c>
      <c r="L103" s="131">
        <f t="array" ref="L103">VLOOKUP($H103,CHOOSE({1,2,3,4,5},$F$3:$F$835,$D$3:$D$835,$B$3:$B$835,$C$3:$C$835,$E$3:$E$835),5,0)</f>
        <v>3707</v>
      </c>
      <c r="M103" s="134"/>
      <c r="N103" s="24">
        <v>336641</v>
      </c>
      <c r="O103" s="131" t="str">
        <f t="array" ref="O103">HLOOKUP($N103,TRANSPOSE(CHOOSE({1,2,3,4,5,6},$F$3:$F$835,$B$3:$B$835,$E$3:$E$835,$C$3:$C$835,$A$3:$A$835,$D$3:$D$835)),2,0)</f>
        <v>Bhav</v>
      </c>
      <c r="P103" s="131">
        <f t="array" ref="P103">HLOOKUP($N103,TRANSPOSE(CHOOSE({1,2,3,4,5,6},$F$3:$F$835,$B$3:$B$835,$E$3:$E$835,$C$3:$C$835,$A$3:$A$835,$D$3:$D$835)),3,0)</f>
        <v>3707</v>
      </c>
      <c r="Q103" s="131" t="str">
        <f t="array" ref="Q103">HLOOKUP($N103,TRANSPOSE(CHOOSE({1,2,3,4,5,6},$F$3:$F$835,$B$3:$B$835,$E$3:$E$835,$C$3:$C$835,$A$3:$A$835,$D$3:$D$835)),4,0)</f>
        <v>HECC</v>
      </c>
      <c r="R103" s="131">
        <f t="array" ref="R103">HLOOKUP($N103,TRANSPOSE(CHOOSE({1,2,3,4,5,6},$F$3:$F$835,$B$3:$B$835,$E$3:$E$835,$C$3:$C$835,$A$3:$A$835,$D$3:$D$835)),1,0)</f>
        <v>336641</v>
      </c>
      <c r="S103" s="214" cm="1">
        <f t="array" ref="S103">HLOOKUP($N103,TRANSPOSE(CHOOSE({1,2,3,4,5,6},$F$3:$F$835,$B$3:$B$835,$E$3:$E$835,$C$3:$C$835,$A$3:$A$835,$D$3:$D$835)),5,0)</f>
        <v>43243</v>
      </c>
      <c r="T103" s="131" t="str">
        <f t="array" ref="T103">HLOOKUP($N103,TRANSPOSE(CHOOSE({1,2,3,4,5,6},$F$3:$F$835,$B$3:$B$835,$E$3:$E$835,$C$3:$C$835,$A$3:$A$835,$D$3:$D$835)),6,0)</f>
        <v>RJ</v>
      </c>
      <c r="V103" s="22"/>
      <c r="W103" s="204"/>
    </row>
    <row r="104" spans="1:23" x14ac:dyDescent="0.35">
      <c r="A104" s="130">
        <v>42531</v>
      </c>
      <c r="B104" s="24" t="s">
        <v>316</v>
      </c>
      <c r="C104" s="24" t="s">
        <v>245</v>
      </c>
      <c r="D104" s="24" t="s">
        <v>281</v>
      </c>
      <c r="E104" s="24">
        <v>1124</v>
      </c>
      <c r="F104" s="24">
        <v>328799</v>
      </c>
      <c r="H104" s="24">
        <v>705809</v>
      </c>
      <c r="I104" s="131" t="str">
        <f t="array" ref="I104">VLOOKUP($H104,CHOOSE({1,2,3,4,5},$F$3:$F$835,$D$3:$D$835,$B$3:$B$835,$C$3:$C$835,$E$3:$E$835),2,0)</f>
        <v>RJ</v>
      </c>
      <c r="J104" s="131" t="str">
        <f t="array" ref="J104">VLOOKUP($H104,CHOOSE({1,2,3,4,5},$F$3:$F$835,$D$3:$D$835,$B$3:$B$835,$C$3:$C$835,$E$3:$E$835),3,0)</f>
        <v>Hars</v>
      </c>
      <c r="K104" s="131" t="str">
        <f t="array" ref="K104">VLOOKUP($H104,CHOOSE({1,2,3,4,5},$F$3:$F$835,$D$3:$D$835,$B$3:$B$835,$C$3:$C$835,$E$3:$E$835),4,0)</f>
        <v>HECC</v>
      </c>
      <c r="L104" s="131">
        <f t="array" ref="L104">VLOOKUP($H104,CHOOSE({1,2,3,4,5},$F$3:$F$835,$D$3:$D$835,$B$3:$B$835,$C$3:$C$835,$E$3:$E$835),5,0)</f>
        <v>1530</v>
      </c>
      <c r="M104" s="134"/>
      <c r="N104" s="24">
        <v>705809</v>
      </c>
      <c r="O104" s="131" t="str">
        <f t="array" ref="O104">HLOOKUP($N104,TRANSPOSE(CHOOSE({1,2,3,4,5,6},$F$3:$F$835,$B$3:$B$835,$E$3:$E$835,$C$3:$C$835,$A$3:$A$835,$D$3:$D$835)),2,0)</f>
        <v>Hars</v>
      </c>
      <c r="P104" s="131">
        <f t="array" ref="P104">HLOOKUP($N104,TRANSPOSE(CHOOSE({1,2,3,4,5,6},$F$3:$F$835,$B$3:$B$835,$E$3:$E$835,$C$3:$C$835,$A$3:$A$835,$D$3:$D$835)),3,0)</f>
        <v>1530</v>
      </c>
      <c r="Q104" s="131" t="str">
        <f t="array" ref="Q104">HLOOKUP($N104,TRANSPOSE(CHOOSE({1,2,3,4,5,6},$F$3:$F$835,$B$3:$B$835,$E$3:$E$835,$C$3:$C$835,$A$3:$A$835,$D$3:$D$835)),4,0)</f>
        <v>HECC</v>
      </c>
      <c r="R104" s="131">
        <f t="array" ref="R104">HLOOKUP($N104,TRANSPOSE(CHOOSE({1,2,3,4,5,6},$F$3:$F$835,$B$3:$B$835,$E$3:$E$835,$C$3:$C$835,$A$3:$A$835,$D$3:$D$835)),1,0)</f>
        <v>705809</v>
      </c>
      <c r="S104" s="214" cm="1">
        <f t="array" ref="S104">HLOOKUP($N104,TRANSPOSE(CHOOSE({1,2,3,4,5,6},$F$3:$F$835,$B$3:$B$835,$E$3:$E$835,$C$3:$C$835,$A$3:$A$835,$D$3:$D$835)),5,0)</f>
        <v>43244</v>
      </c>
      <c r="T104" s="131" t="str">
        <f t="array" ref="T104">HLOOKUP($N104,TRANSPOSE(CHOOSE({1,2,3,4,5,6},$F$3:$F$835,$B$3:$B$835,$E$3:$E$835,$C$3:$C$835,$A$3:$A$835,$D$3:$D$835)),6,0)</f>
        <v>RJ</v>
      </c>
      <c r="V104" s="22"/>
      <c r="W104" s="204"/>
    </row>
    <row r="105" spans="1:23" x14ac:dyDescent="0.35">
      <c r="A105" s="130">
        <v>42532</v>
      </c>
      <c r="B105" s="24" t="s">
        <v>316</v>
      </c>
      <c r="C105" s="24" t="s">
        <v>245</v>
      </c>
      <c r="D105" s="24" t="s">
        <v>281</v>
      </c>
      <c r="E105" s="24">
        <v>1625</v>
      </c>
      <c r="F105" s="24">
        <v>328803</v>
      </c>
      <c r="H105" s="24">
        <v>705813</v>
      </c>
      <c r="I105" s="131" t="str">
        <f t="array" ref="I105">VLOOKUP($H105,CHOOSE({1,2,3,4,5},$F$3:$F$835,$D$3:$D$835,$B$3:$B$835,$C$3:$C$835,$E$3:$E$835),2,0)</f>
        <v>RJ</v>
      </c>
      <c r="J105" s="131" t="str">
        <f t="array" ref="J105">VLOOKUP($H105,CHOOSE({1,2,3,4,5},$F$3:$F$835,$D$3:$D$835,$B$3:$B$835,$C$3:$C$835,$E$3:$E$835),3,0)</f>
        <v>Sub</v>
      </c>
      <c r="K105" s="131" t="str">
        <f t="array" ref="K105">VLOOKUP($H105,CHOOSE({1,2,3,4,5},$F$3:$F$835,$D$3:$D$835,$B$3:$B$835,$C$3:$C$835,$E$3:$E$835),4,0)</f>
        <v>HECC</v>
      </c>
      <c r="L105" s="131">
        <f t="array" ref="L105">VLOOKUP($H105,CHOOSE({1,2,3,4,5},$F$3:$F$835,$D$3:$D$835,$B$3:$B$835,$C$3:$C$835,$E$3:$E$835),5,0)</f>
        <v>2325</v>
      </c>
      <c r="M105" s="134"/>
      <c r="N105" s="24">
        <v>705813</v>
      </c>
      <c r="O105" s="131" t="str">
        <f t="array" ref="O105">HLOOKUP($N105,TRANSPOSE(CHOOSE({1,2,3,4,5,6},$F$3:$F$835,$B$3:$B$835,$E$3:$E$835,$C$3:$C$835,$A$3:$A$835,$D$3:$D$835)),2,0)</f>
        <v>Sub</v>
      </c>
      <c r="P105" s="131">
        <f t="array" ref="P105">HLOOKUP($N105,TRANSPOSE(CHOOSE({1,2,3,4,5,6},$F$3:$F$835,$B$3:$B$835,$E$3:$E$835,$C$3:$C$835,$A$3:$A$835,$D$3:$D$835)),3,0)</f>
        <v>2325</v>
      </c>
      <c r="Q105" s="131" t="str">
        <f t="array" ref="Q105">HLOOKUP($N105,TRANSPOSE(CHOOSE({1,2,3,4,5,6},$F$3:$F$835,$B$3:$B$835,$E$3:$E$835,$C$3:$C$835,$A$3:$A$835,$D$3:$D$835)),4,0)</f>
        <v>HECC</v>
      </c>
      <c r="R105" s="131">
        <f t="array" ref="R105">HLOOKUP($N105,TRANSPOSE(CHOOSE({1,2,3,4,5,6},$F$3:$F$835,$B$3:$B$835,$E$3:$E$835,$C$3:$C$835,$A$3:$A$835,$D$3:$D$835)),1,0)</f>
        <v>705813</v>
      </c>
      <c r="S105" s="214" cm="1">
        <f t="array" ref="S105">HLOOKUP($N105,TRANSPOSE(CHOOSE({1,2,3,4,5,6},$F$3:$F$835,$B$3:$B$835,$E$3:$E$835,$C$3:$C$835,$A$3:$A$835,$D$3:$D$835)),5,0)</f>
        <v>43245</v>
      </c>
      <c r="T105" s="131" t="str">
        <f t="array" ref="T105">HLOOKUP($N105,TRANSPOSE(CHOOSE({1,2,3,4,5,6},$F$3:$F$835,$B$3:$B$835,$E$3:$E$835,$C$3:$C$835,$A$3:$A$835,$D$3:$D$835)),6,0)</f>
        <v>RJ</v>
      </c>
      <c r="V105" s="22"/>
      <c r="W105" s="204"/>
    </row>
    <row r="106" spans="1:23" x14ac:dyDescent="0.35">
      <c r="A106" s="130">
        <v>42533</v>
      </c>
      <c r="B106" s="24" t="s">
        <v>317</v>
      </c>
      <c r="C106" s="24" t="s">
        <v>245</v>
      </c>
      <c r="D106" s="24" t="s">
        <v>281</v>
      </c>
      <c r="E106" s="24">
        <v>2277</v>
      </c>
      <c r="F106" s="24">
        <v>328813</v>
      </c>
      <c r="H106" s="24">
        <v>705824</v>
      </c>
      <c r="I106" s="131" t="str">
        <f t="array" ref="I106">VLOOKUP($H106,CHOOSE({1,2,3,4,5},$F$3:$F$835,$D$3:$D$835,$B$3:$B$835,$C$3:$C$835,$E$3:$E$835),2,0)</f>
        <v>RJ</v>
      </c>
      <c r="J106" s="131" t="str">
        <f t="array" ref="J106">VLOOKUP($H106,CHOOSE({1,2,3,4,5},$F$3:$F$835,$D$3:$D$835,$B$3:$B$835,$C$3:$C$835,$E$3:$E$835),3,0)</f>
        <v>Archa</v>
      </c>
      <c r="K106" s="131" t="str">
        <f t="array" ref="K106">VLOOKUP($H106,CHOOSE({1,2,3,4,5},$F$3:$F$835,$D$3:$D$835,$B$3:$B$835,$C$3:$C$835,$E$3:$E$835),4,0)</f>
        <v>HECC</v>
      </c>
      <c r="L106" s="131">
        <f t="array" ref="L106">VLOOKUP($H106,CHOOSE({1,2,3,4,5},$F$3:$F$835,$D$3:$D$835,$B$3:$B$835,$C$3:$C$835,$E$3:$E$835),5,0)</f>
        <v>3412</v>
      </c>
      <c r="M106" s="134"/>
      <c r="N106" s="24">
        <v>705824</v>
      </c>
      <c r="O106" s="131" t="str">
        <f t="array" ref="O106">HLOOKUP($N106,TRANSPOSE(CHOOSE({1,2,3,4,5,6},$F$3:$F$835,$B$3:$B$835,$E$3:$E$835,$C$3:$C$835,$A$3:$A$835,$D$3:$D$835)),2,0)</f>
        <v>Archa</v>
      </c>
      <c r="P106" s="131">
        <f t="array" ref="P106">HLOOKUP($N106,TRANSPOSE(CHOOSE({1,2,3,4,5,6},$F$3:$F$835,$B$3:$B$835,$E$3:$E$835,$C$3:$C$835,$A$3:$A$835,$D$3:$D$835)),3,0)</f>
        <v>3412</v>
      </c>
      <c r="Q106" s="131" t="str">
        <f t="array" ref="Q106">HLOOKUP($N106,TRANSPOSE(CHOOSE({1,2,3,4,5,6},$F$3:$F$835,$B$3:$B$835,$E$3:$E$835,$C$3:$C$835,$A$3:$A$835,$D$3:$D$835)),4,0)</f>
        <v>HECC</v>
      </c>
      <c r="R106" s="131">
        <f t="array" ref="R106">HLOOKUP($N106,TRANSPOSE(CHOOSE({1,2,3,4,5,6},$F$3:$F$835,$B$3:$B$835,$E$3:$E$835,$C$3:$C$835,$A$3:$A$835,$D$3:$D$835)),1,0)</f>
        <v>705824</v>
      </c>
      <c r="S106" s="214" cm="1">
        <f t="array" ref="S106">HLOOKUP($N106,TRANSPOSE(CHOOSE({1,2,3,4,5,6},$F$3:$F$835,$B$3:$B$835,$E$3:$E$835,$C$3:$C$835,$A$3:$A$835,$D$3:$D$835)),5,0)</f>
        <v>43246</v>
      </c>
      <c r="T106" s="131" t="str">
        <f t="array" ref="T106">HLOOKUP($N106,TRANSPOSE(CHOOSE({1,2,3,4,5,6},$F$3:$F$835,$B$3:$B$835,$E$3:$E$835,$C$3:$C$835,$A$3:$A$835,$D$3:$D$835)),6,0)</f>
        <v>RJ</v>
      </c>
      <c r="V106" s="22"/>
      <c r="W106" s="204"/>
    </row>
    <row r="107" spans="1:23" x14ac:dyDescent="0.35">
      <c r="A107" s="130">
        <v>42534</v>
      </c>
      <c r="B107" s="24" t="s">
        <v>317</v>
      </c>
      <c r="C107" s="24" t="s">
        <v>245</v>
      </c>
      <c r="D107" s="24" t="s">
        <v>281</v>
      </c>
      <c r="E107" s="24">
        <v>4014</v>
      </c>
      <c r="F107" s="24">
        <v>328819</v>
      </c>
      <c r="H107" s="24">
        <v>332577</v>
      </c>
      <c r="I107" s="131" t="str">
        <f t="array" ref="I107">VLOOKUP($H107,CHOOSE({1,2,3,4,5},$F$3:$F$835,$D$3:$D$835,$B$3:$B$835,$C$3:$C$835,$E$3:$E$835),2,0)</f>
        <v>RJ</v>
      </c>
      <c r="J107" s="131" t="str">
        <f t="array" ref="J107">VLOOKUP($H107,CHOOSE({1,2,3,4,5},$F$3:$F$835,$D$3:$D$835,$B$3:$B$835,$C$3:$C$835,$E$3:$E$835),3,0)</f>
        <v>Ha</v>
      </c>
      <c r="K107" s="131" t="str">
        <f t="array" ref="K107">VLOOKUP($H107,CHOOSE({1,2,3,4,5},$F$3:$F$835,$D$3:$D$835,$B$3:$B$835,$C$3:$C$835,$E$3:$E$835),4,0)</f>
        <v>HECC</v>
      </c>
      <c r="L107" s="131">
        <f t="array" ref="L107">VLOOKUP($H107,CHOOSE({1,2,3,4,5},$F$3:$F$835,$D$3:$D$835,$B$3:$B$835,$C$3:$C$835,$E$3:$E$835),5,0)</f>
        <v>3597</v>
      </c>
      <c r="M107" s="134"/>
      <c r="N107" s="24">
        <v>332577</v>
      </c>
      <c r="O107" s="131" t="str">
        <f t="array" ref="O107">HLOOKUP($N107,TRANSPOSE(CHOOSE({1,2,3,4,5,6},$F$3:$F$835,$B$3:$B$835,$E$3:$E$835,$C$3:$C$835,$A$3:$A$835,$D$3:$D$835)),2,0)</f>
        <v>Ha</v>
      </c>
      <c r="P107" s="131">
        <f t="array" ref="P107">HLOOKUP($N107,TRANSPOSE(CHOOSE({1,2,3,4,5,6},$F$3:$F$835,$B$3:$B$835,$E$3:$E$835,$C$3:$C$835,$A$3:$A$835,$D$3:$D$835)),3,0)</f>
        <v>3597</v>
      </c>
      <c r="Q107" s="131" t="str">
        <f t="array" ref="Q107">HLOOKUP($N107,TRANSPOSE(CHOOSE({1,2,3,4,5,6},$F$3:$F$835,$B$3:$B$835,$E$3:$E$835,$C$3:$C$835,$A$3:$A$835,$D$3:$D$835)),4,0)</f>
        <v>HECC</v>
      </c>
      <c r="R107" s="131">
        <f t="array" ref="R107">HLOOKUP($N107,TRANSPOSE(CHOOSE({1,2,3,4,5,6},$F$3:$F$835,$B$3:$B$835,$E$3:$E$835,$C$3:$C$835,$A$3:$A$835,$D$3:$D$835)),1,0)</f>
        <v>332577</v>
      </c>
      <c r="S107" s="214" cm="1">
        <f t="array" ref="S107">HLOOKUP($N107,TRANSPOSE(CHOOSE({1,2,3,4,5,6},$F$3:$F$835,$B$3:$B$835,$E$3:$E$835,$C$3:$C$835,$A$3:$A$835,$D$3:$D$835)),5,0)</f>
        <v>43247</v>
      </c>
      <c r="T107" s="131" t="str">
        <f t="array" ref="T107">HLOOKUP($N107,TRANSPOSE(CHOOSE({1,2,3,4,5,6},$F$3:$F$835,$B$3:$B$835,$E$3:$E$835,$C$3:$C$835,$A$3:$A$835,$D$3:$D$835)),6,0)</f>
        <v>RJ</v>
      </c>
      <c r="V107" s="22"/>
      <c r="W107" s="204"/>
    </row>
    <row r="108" spans="1:23" x14ac:dyDescent="0.35">
      <c r="A108" s="130">
        <v>42535</v>
      </c>
      <c r="B108" s="24" t="s">
        <v>318</v>
      </c>
      <c r="C108" s="24" t="s">
        <v>245</v>
      </c>
      <c r="D108" s="24" t="s">
        <v>281</v>
      </c>
      <c r="E108" s="24">
        <v>3041</v>
      </c>
      <c r="F108" s="24">
        <v>328820</v>
      </c>
      <c r="H108" s="24">
        <v>332594</v>
      </c>
      <c r="I108" s="131" t="str">
        <f t="array" ref="I108">VLOOKUP($H108,CHOOSE({1,2,3,4,5},$F$3:$F$835,$D$3:$D$835,$B$3:$B$835,$C$3:$C$835,$E$3:$E$835),2,0)</f>
        <v>RJ</v>
      </c>
      <c r="J108" s="131" t="str">
        <f t="array" ref="J108">VLOOKUP($H108,CHOOSE({1,2,3,4,5},$F$3:$F$835,$D$3:$D$835,$B$3:$B$835,$C$3:$C$835,$E$3:$E$835),3,0)</f>
        <v>Vi</v>
      </c>
      <c r="K108" s="131" t="str">
        <f t="array" ref="K108">VLOOKUP($H108,CHOOSE({1,2,3,4,5},$F$3:$F$835,$D$3:$D$835,$B$3:$B$835,$C$3:$C$835,$E$3:$E$835),4,0)</f>
        <v>HECC</v>
      </c>
      <c r="L108" s="131">
        <f t="array" ref="L108">VLOOKUP($H108,CHOOSE({1,2,3,4,5},$F$3:$F$835,$D$3:$D$835,$B$3:$B$835,$C$3:$C$835,$E$3:$E$835),5,0)</f>
        <v>3732</v>
      </c>
      <c r="M108" s="134"/>
      <c r="N108" s="24">
        <v>332594</v>
      </c>
      <c r="O108" s="131" t="str">
        <f t="array" ref="O108">HLOOKUP($N108,TRANSPOSE(CHOOSE({1,2,3,4,5,6},$F$3:$F$835,$B$3:$B$835,$E$3:$E$835,$C$3:$C$835,$A$3:$A$835,$D$3:$D$835)),2,0)</f>
        <v>Vi</v>
      </c>
      <c r="P108" s="131">
        <f t="array" ref="P108">HLOOKUP($N108,TRANSPOSE(CHOOSE({1,2,3,4,5,6},$F$3:$F$835,$B$3:$B$835,$E$3:$E$835,$C$3:$C$835,$A$3:$A$835,$D$3:$D$835)),3,0)</f>
        <v>3732</v>
      </c>
      <c r="Q108" s="131" t="str">
        <f t="array" ref="Q108">HLOOKUP($N108,TRANSPOSE(CHOOSE({1,2,3,4,5,6},$F$3:$F$835,$B$3:$B$835,$E$3:$E$835,$C$3:$C$835,$A$3:$A$835,$D$3:$D$835)),4,0)</f>
        <v>HECC</v>
      </c>
      <c r="R108" s="131">
        <f t="array" ref="R108">HLOOKUP($N108,TRANSPOSE(CHOOSE({1,2,3,4,5,6},$F$3:$F$835,$B$3:$B$835,$E$3:$E$835,$C$3:$C$835,$A$3:$A$835,$D$3:$D$835)),1,0)</f>
        <v>332594</v>
      </c>
      <c r="S108" s="214" cm="1">
        <f t="array" ref="S108">HLOOKUP($N108,TRANSPOSE(CHOOSE({1,2,3,4,5,6},$F$3:$F$835,$B$3:$B$835,$E$3:$E$835,$C$3:$C$835,$A$3:$A$835,$D$3:$D$835)),5,0)</f>
        <v>43248</v>
      </c>
      <c r="T108" s="131" t="str">
        <f t="array" ref="T108">HLOOKUP($N108,TRANSPOSE(CHOOSE({1,2,3,4,5,6},$F$3:$F$835,$B$3:$B$835,$E$3:$E$835,$C$3:$C$835,$A$3:$A$835,$D$3:$D$835)),6,0)</f>
        <v>RJ</v>
      </c>
      <c r="V108" s="22"/>
      <c r="W108" s="204"/>
    </row>
    <row r="109" spans="1:23" x14ac:dyDescent="0.35">
      <c r="A109" s="130">
        <v>42536</v>
      </c>
      <c r="B109" s="24" t="s">
        <v>318</v>
      </c>
      <c r="C109" s="24" t="s">
        <v>245</v>
      </c>
      <c r="D109" s="24" t="s">
        <v>281</v>
      </c>
      <c r="E109" s="24">
        <v>2937</v>
      </c>
      <c r="F109" s="24">
        <v>328824</v>
      </c>
      <c r="H109" s="24">
        <v>332725</v>
      </c>
      <c r="I109" s="131" t="str">
        <f t="array" ref="I109">VLOOKUP($H109,CHOOSE({1,2,3,4,5},$F$3:$F$835,$D$3:$D$835,$B$3:$B$835,$C$3:$C$835,$E$3:$E$835),2,0)</f>
        <v>RJ</v>
      </c>
      <c r="J109" s="131" t="str">
        <f t="array" ref="J109">VLOOKUP($H109,CHOOSE({1,2,3,4,5},$F$3:$F$835,$D$3:$D$835,$B$3:$B$835,$C$3:$C$835,$E$3:$E$835),3,0)</f>
        <v>Vi</v>
      </c>
      <c r="K109" s="131" t="str">
        <f t="array" ref="K109">VLOOKUP($H109,CHOOSE({1,2,3,4,5},$F$3:$F$835,$D$3:$D$835,$B$3:$B$835,$C$3:$C$835,$E$3:$E$835),4,0)</f>
        <v>HECC</v>
      </c>
      <c r="L109" s="131">
        <f t="array" ref="L109">VLOOKUP($H109,CHOOSE({1,2,3,4,5},$F$3:$F$835,$D$3:$D$835,$B$3:$B$835,$C$3:$C$835,$E$3:$E$835),5,0)</f>
        <v>3462</v>
      </c>
      <c r="M109" s="134"/>
      <c r="N109" s="24">
        <v>332725</v>
      </c>
      <c r="O109" s="131" t="str">
        <f t="array" ref="O109">HLOOKUP($N109,TRANSPOSE(CHOOSE({1,2,3,4,5,6},$F$3:$F$835,$B$3:$B$835,$E$3:$E$835,$C$3:$C$835,$A$3:$A$835,$D$3:$D$835)),2,0)</f>
        <v>Vi</v>
      </c>
      <c r="P109" s="131">
        <f t="array" ref="P109">HLOOKUP($N109,TRANSPOSE(CHOOSE({1,2,3,4,5,6},$F$3:$F$835,$B$3:$B$835,$E$3:$E$835,$C$3:$C$835,$A$3:$A$835,$D$3:$D$835)),3,0)</f>
        <v>3462</v>
      </c>
      <c r="Q109" s="131" t="str">
        <f t="array" ref="Q109">HLOOKUP($N109,TRANSPOSE(CHOOSE({1,2,3,4,5,6},$F$3:$F$835,$B$3:$B$835,$E$3:$E$835,$C$3:$C$835,$A$3:$A$835,$D$3:$D$835)),4,0)</f>
        <v>HECC</v>
      </c>
      <c r="R109" s="131">
        <f t="array" ref="R109">HLOOKUP($N109,TRANSPOSE(CHOOSE({1,2,3,4,5,6},$F$3:$F$835,$B$3:$B$835,$E$3:$E$835,$C$3:$C$835,$A$3:$A$835,$D$3:$D$835)),1,0)</f>
        <v>332725</v>
      </c>
      <c r="S109" s="214" cm="1">
        <f t="array" ref="S109">HLOOKUP($N109,TRANSPOSE(CHOOSE({1,2,3,4,5,6},$F$3:$F$835,$B$3:$B$835,$E$3:$E$835,$C$3:$C$835,$A$3:$A$835,$D$3:$D$835)),5,0)</f>
        <v>43249</v>
      </c>
      <c r="T109" s="131" t="str">
        <f t="array" ref="T109">HLOOKUP($N109,TRANSPOSE(CHOOSE({1,2,3,4,5,6},$F$3:$F$835,$B$3:$B$835,$E$3:$E$835,$C$3:$C$835,$A$3:$A$835,$D$3:$D$835)),6,0)</f>
        <v>RJ</v>
      </c>
      <c r="V109" s="22"/>
      <c r="W109" s="204"/>
    </row>
    <row r="110" spans="1:23" x14ac:dyDescent="0.35">
      <c r="A110" s="130">
        <v>42537</v>
      </c>
      <c r="B110" s="24" t="s">
        <v>319</v>
      </c>
      <c r="C110" s="24" t="s">
        <v>245</v>
      </c>
      <c r="D110" s="24" t="s">
        <v>281</v>
      </c>
      <c r="E110" s="24">
        <v>1991</v>
      </c>
      <c r="F110" s="24">
        <v>328835</v>
      </c>
      <c r="H110" s="24">
        <v>332656</v>
      </c>
      <c r="I110" s="131" t="str">
        <f t="array" ref="I110">VLOOKUP($H110,CHOOSE({1,2,3,4,5},$F$3:$F$835,$D$3:$D$835,$B$3:$B$835,$C$3:$C$835,$E$3:$E$835),2,0)</f>
        <v>RJ</v>
      </c>
      <c r="J110" s="131" t="str">
        <f t="array" ref="J110">VLOOKUP($H110,CHOOSE({1,2,3,4,5},$F$3:$F$835,$D$3:$D$835,$B$3:$B$835,$C$3:$C$835,$E$3:$E$835),3,0)</f>
        <v>NIKH</v>
      </c>
      <c r="K110" s="131" t="str">
        <f t="array" ref="K110">VLOOKUP($H110,CHOOSE({1,2,3,4,5},$F$3:$F$835,$D$3:$D$835,$B$3:$B$835,$C$3:$C$835,$E$3:$E$835),4,0)</f>
        <v>HECC</v>
      </c>
      <c r="L110" s="131">
        <f t="array" ref="L110">VLOOKUP($H110,CHOOSE({1,2,3,4,5},$F$3:$F$835,$D$3:$D$835,$B$3:$B$835,$C$3:$C$835,$E$3:$E$835),5,0)</f>
        <v>4550</v>
      </c>
      <c r="M110" s="134"/>
      <c r="N110" s="24">
        <v>332656</v>
      </c>
      <c r="O110" s="131" t="str">
        <f t="array" ref="O110">HLOOKUP($N110,TRANSPOSE(CHOOSE({1,2,3,4,5,6},$F$3:$F$835,$B$3:$B$835,$E$3:$E$835,$C$3:$C$835,$A$3:$A$835,$D$3:$D$835)),2,0)</f>
        <v>NIKH</v>
      </c>
      <c r="P110" s="131">
        <f t="array" ref="P110">HLOOKUP($N110,TRANSPOSE(CHOOSE({1,2,3,4,5,6},$F$3:$F$835,$B$3:$B$835,$E$3:$E$835,$C$3:$C$835,$A$3:$A$835,$D$3:$D$835)),3,0)</f>
        <v>4550</v>
      </c>
      <c r="Q110" s="131" t="str">
        <f t="array" ref="Q110">HLOOKUP($N110,TRANSPOSE(CHOOSE({1,2,3,4,5,6},$F$3:$F$835,$B$3:$B$835,$E$3:$E$835,$C$3:$C$835,$A$3:$A$835,$D$3:$D$835)),4,0)</f>
        <v>HECC</v>
      </c>
      <c r="R110" s="131">
        <f t="array" ref="R110">HLOOKUP($N110,TRANSPOSE(CHOOSE({1,2,3,4,5,6},$F$3:$F$835,$B$3:$B$835,$E$3:$E$835,$C$3:$C$835,$A$3:$A$835,$D$3:$D$835)),1,0)</f>
        <v>332656</v>
      </c>
      <c r="S110" s="214" cm="1">
        <f t="array" ref="S110">HLOOKUP($N110,TRANSPOSE(CHOOSE({1,2,3,4,5,6},$F$3:$F$835,$B$3:$B$835,$E$3:$E$835,$C$3:$C$835,$A$3:$A$835,$D$3:$D$835)),5,0)</f>
        <v>43260</v>
      </c>
      <c r="T110" s="131" t="str">
        <f t="array" ref="T110">HLOOKUP($N110,TRANSPOSE(CHOOSE({1,2,3,4,5,6},$F$3:$F$835,$B$3:$B$835,$E$3:$E$835,$C$3:$C$835,$A$3:$A$835,$D$3:$D$835)),6,0)</f>
        <v>RJ</v>
      </c>
      <c r="V110" s="22"/>
      <c r="W110" s="204"/>
    </row>
    <row r="111" spans="1:23" x14ac:dyDescent="0.35">
      <c r="A111" s="130">
        <v>42538</v>
      </c>
      <c r="B111" s="24" t="s">
        <v>319</v>
      </c>
      <c r="C111" s="24" t="s">
        <v>245</v>
      </c>
      <c r="D111" s="24" t="s">
        <v>281</v>
      </c>
      <c r="E111" s="24">
        <v>1136</v>
      </c>
      <c r="F111" s="24">
        <v>328838</v>
      </c>
      <c r="H111" s="24">
        <v>336638</v>
      </c>
      <c r="I111" s="131" t="str">
        <f t="array" ref="I111">VLOOKUP($H111,CHOOSE({1,2,3,4,5},$F$3:$F$835,$D$3:$D$835,$B$3:$B$835,$C$3:$C$835,$E$3:$E$835),2,0)</f>
        <v>RJ</v>
      </c>
      <c r="J111" s="131" t="str">
        <f t="array" ref="J111">VLOOKUP($H111,CHOOSE({1,2,3,4,5},$F$3:$F$835,$D$3:$D$835,$B$3:$B$835,$C$3:$C$835,$E$3:$E$835),3,0)</f>
        <v>NIKH</v>
      </c>
      <c r="K111" s="131" t="str">
        <f t="array" ref="K111">VLOOKUP($H111,CHOOSE({1,2,3,4,5},$F$3:$F$835,$D$3:$D$835,$B$3:$B$835,$C$3:$C$835,$E$3:$E$835),4,0)</f>
        <v>HECC</v>
      </c>
      <c r="L111" s="131">
        <f t="array" ref="L111">VLOOKUP($H111,CHOOSE({1,2,3,4,5},$F$3:$F$835,$D$3:$D$835,$B$3:$B$835,$C$3:$C$835,$E$3:$E$835),5,0)</f>
        <v>4774</v>
      </c>
      <c r="M111" s="134"/>
      <c r="N111" s="24">
        <v>336638</v>
      </c>
      <c r="O111" s="131" t="str">
        <f t="array" ref="O111">HLOOKUP($N111,TRANSPOSE(CHOOSE({1,2,3,4,5,6},$F$3:$F$835,$B$3:$B$835,$E$3:$E$835,$C$3:$C$835,$A$3:$A$835,$D$3:$D$835)),2,0)</f>
        <v>NIKH</v>
      </c>
      <c r="P111" s="131">
        <f t="array" ref="P111">HLOOKUP($N111,TRANSPOSE(CHOOSE({1,2,3,4,5,6},$F$3:$F$835,$B$3:$B$835,$E$3:$E$835,$C$3:$C$835,$A$3:$A$835,$D$3:$D$835)),3,0)</f>
        <v>4774</v>
      </c>
      <c r="Q111" s="131" t="str">
        <f t="array" ref="Q111">HLOOKUP($N111,TRANSPOSE(CHOOSE({1,2,3,4,5,6},$F$3:$F$835,$B$3:$B$835,$E$3:$E$835,$C$3:$C$835,$A$3:$A$835,$D$3:$D$835)),4,0)</f>
        <v>HECC</v>
      </c>
      <c r="R111" s="131">
        <f t="array" ref="R111">HLOOKUP($N111,TRANSPOSE(CHOOSE({1,2,3,4,5,6},$F$3:$F$835,$B$3:$B$835,$E$3:$E$835,$C$3:$C$835,$A$3:$A$835,$D$3:$D$835)),1,0)</f>
        <v>336638</v>
      </c>
      <c r="S111" s="214" cm="1">
        <f t="array" ref="S111">HLOOKUP($N111,TRANSPOSE(CHOOSE({1,2,3,4,5,6},$F$3:$F$835,$B$3:$B$835,$E$3:$E$835,$C$3:$C$835,$A$3:$A$835,$D$3:$D$835)),5,0)</f>
        <v>43261</v>
      </c>
      <c r="T111" s="131" t="str">
        <f t="array" ref="T111">HLOOKUP($N111,TRANSPOSE(CHOOSE({1,2,3,4,5,6},$F$3:$F$835,$B$3:$B$835,$E$3:$E$835,$C$3:$C$835,$A$3:$A$835,$D$3:$D$835)),6,0)</f>
        <v>RJ</v>
      </c>
      <c r="V111" s="22"/>
      <c r="W111" s="204"/>
    </row>
    <row r="112" spans="1:23" x14ac:dyDescent="0.35">
      <c r="A112" s="130">
        <v>42539</v>
      </c>
      <c r="B112" s="24" t="s">
        <v>320</v>
      </c>
      <c r="C112" s="24" t="s">
        <v>245</v>
      </c>
      <c r="D112" s="24" t="s">
        <v>281</v>
      </c>
      <c r="E112" s="24">
        <v>1378</v>
      </c>
      <c r="F112" s="24">
        <v>328843</v>
      </c>
      <c r="H112" s="24">
        <v>301241</v>
      </c>
      <c r="I112" s="131" t="str">
        <f t="array" ref="I112">VLOOKUP($H112,CHOOSE({1,2,3,4,5},$F$3:$F$835,$D$3:$D$835,$B$3:$B$835,$C$3:$C$835,$E$3:$E$835),2,0)</f>
        <v>RJ</v>
      </c>
      <c r="J112" s="131" t="str">
        <f t="array" ref="J112">VLOOKUP($H112,CHOOSE({1,2,3,4,5},$F$3:$F$835,$D$3:$D$835,$B$3:$B$835,$C$3:$C$835,$E$3:$E$835),3,0)</f>
        <v>Gufran Khan</v>
      </c>
      <c r="K112" s="131" t="str">
        <f t="array" ref="K112">VLOOKUP($H112,CHOOSE({1,2,3,4,5},$F$3:$F$835,$D$3:$D$835,$B$3:$B$835,$C$3:$C$835,$E$3:$E$835),4,0)</f>
        <v>HECC</v>
      </c>
      <c r="L112" s="131">
        <f t="array" ref="L112">VLOOKUP($H112,CHOOSE({1,2,3,4,5},$F$3:$F$835,$D$3:$D$835,$B$3:$B$835,$C$3:$C$835,$E$3:$E$835),5,0)</f>
        <v>2686</v>
      </c>
      <c r="M112" s="134"/>
      <c r="N112" s="24">
        <v>301241</v>
      </c>
      <c r="O112" s="131" t="str">
        <f t="array" ref="O112">HLOOKUP($N112,TRANSPOSE(CHOOSE({1,2,3,4,5,6},$F$3:$F$835,$B$3:$B$835,$E$3:$E$835,$C$3:$C$835,$A$3:$A$835,$D$3:$D$835)),2,0)</f>
        <v>Gufran Khan</v>
      </c>
      <c r="P112" s="131">
        <f t="array" ref="P112">HLOOKUP($N112,TRANSPOSE(CHOOSE({1,2,3,4,5,6},$F$3:$F$835,$B$3:$B$835,$E$3:$E$835,$C$3:$C$835,$A$3:$A$835,$D$3:$D$835)),3,0)</f>
        <v>2686</v>
      </c>
      <c r="Q112" s="131" t="str">
        <f t="array" ref="Q112">HLOOKUP($N112,TRANSPOSE(CHOOSE({1,2,3,4,5,6},$F$3:$F$835,$B$3:$B$835,$E$3:$E$835,$C$3:$C$835,$A$3:$A$835,$D$3:$D$835)),4,0)</f>
        <v>HECC</v>
      </c>
      <c r="R112" s="131">
        <f t="array" ref="R112">HLOOKUP($N112,TRANSPOSE(CHOOSE({1,2,3,4,5,6},$F$3:$F$835,$B$3:$B$835,$E$3:$E$835,$C$3:$C$835,$A$3:$A$835,$D$3:$D$835)),1,0)</f>
        <v>301241</v>
      </c>
      <c r="S112" s="214" cm="1">
        <f t="array" ref="S112">HLOOKUP($N112,TRANSPOSE(CHOOSE({1,2,3,4,5,6},$F$3:$F$835,$B$3:$B$835,$E$3:$E$835,$C$3:$C$835,$A$3:$A$835,$D$3:$D$835)),5,0)</f>
        <v>43262</v>
      </c>
      <c r="T112" s="131" t="str">
        <f t="array" ref="T112">HLOOKUP($N112,TRANSPOSE(CHOOSE({1,2,3,4,5,6},$F$3:$F$835,$B$3:$B$835,$E$3:$E$835,$C$3:$C$835,$A$3:$A$835,$D$3:$D$835)),6,0)</f>
        <v>RJ</v>
      </c>
      <c r="V112" s="22"/>
      <c r="W112" s="204"/>
    </row>
    <row r="113" spans="1:6" x14ac:dyDescent="0.35">
      <c r="A113" s="130">
        <v>42540</v>
      </c>
      <c r="B113" s="24" t="s">
        <v>321</v>
      </c>
      <c r="C113" s="24" t="s">
        <v>245</v>
      </c>
      <c r="D113" s="24" t="s">
        <v>281</v>
      </c>
      <c r="E113" s="24">
        <v>4714</v>
      </c>
      <c r="F113" s="24">
        <v>328844</v>
      </c>
    </row>
    <row r="114" spans="1:6" x14ac:dyDescent="0.35">
      <c r="A114" s="130">
        <v>42541</v>
      </c>
      <c r="B114" s="24" t="s">
        <v>321</v>
      </c>
      <c r="C114" s="24" t="s">
        <v>245</v>
      </c>
      <c r="D114" s="24" t="s">
        <v>281</v>
      </c>
      <c r="E114" s="24">
        <v>2390</v>
      </c>
      <c r="F114" s="24">
        <v>328850</v>
      </c>
    </row>
    <row r="115" spans="1:6" x14ac:dyDescent="0.35">
      <c r="A115" s="130">
        <v>42542</v>
      </c>
      <c r="B115" s="24" t="s">
        <v>322</v>
      </c>
      <c r="C115" s="24" t="s">
        <v>245</v>
      </c>
      <c r="D115" s="24" t="s">
        <v>281</v>
      </c>
      <c r="E115" s="24">
        <v>4023</v>
      </c>
      <c r="F115" s="24">
        <v>328851</v>
      </c>
    </row>
    <row r="116" spans="1:6" x14ac:dyDescent="0.35">
      <c r="A116" s="130">
        <v>42543</v>
      </c>
      <c r="B116" s="24" t="s">
        <v>322</v>
      </c>
      <c r="C116" s="24" t="s">
        <v>245</v>
      </c>
      <c r="D116" s="24" t="s">
        <v>281</v>
      </c>
      <c r="E116" s="24">
        <v>4768</v>
      </c>
      <c r="F116" s="24">
        <v>328853</v>
      </c>
    </row>
    <row r="117" spans="1:6" x14ac:dyDescent="0.35">
      <c r="A117" s="130">
        <v>42544</v>
      </c>
      <c r="B117" s="24" t="s">
        <v>323</v>
      </c>
      <c r="C117" s="24" t="s">
        <v>245</v>
      </c>
      <c r="D117" s="24" t="s">
        <v>281</v>
      </c>
      <c r="E117" s="24">
        <v>3802</v>
      </c>
      <c r="F117" s="24">
        <v>328857</v>
      </c>
    </row>
    <row r="118" spans="1:6" x14ac:dyDescent="0.35">
      <c r="A118" s="130">
        <v>42545</v>
      </c>
      <c r="B118" s="24" t="s">
        <v>323</v>
      </c>
      <c r="C118" s="24" t="s">
        <v>245</v>
      </c>
      <c r="D118" s="24" t="s">
        <v>281</v>
      </c>
      <c r="E118" s="24">
        <v>4779</v>
      </c>
      <c r="F118" s="24">
        <v>328858</v>
      </c>
    </row>
    <row r="119" spans="1:6" x14ac:dyDescent="0.35">
      <c r="A119" s="130">
        <v>42546</v>
      </c>
      <c r="B119" s="24" t="s">
        <v>324</v>
      </c>
      <c r="C119" s="24" t="s">
        <v>245</v>
      </c>
      <c r="D119" s="24" t="s">
        <v>281</v>
      </c>
      <c r="E119" s="24">
        <v>3421</v>
      </c>
      <c r="F119" s="24">
        <v>328862</v>
      </c>
    </row>
    <row r="120" spans="1:6" x14ac:dyDescent="0.35">
      <c r="A120" s="130">
        <v>42547</v>
      </c>
      <c r="B120" s="24" t="s">
        <v>324</v>
      </c>
      <c r="C120" s="24" t="s">
        <v>245</v>
      </c>
      <c r="D120" s="24" t="s">
        <v>281</v>
      </c>
      <c r="E120" s="24">
        <v>4401</v>
      </c>
      <c r="F120" s="24">
        <v>328864</v>
      </c>
    </row>
    <row r="121" spans="1:6" x14ac:dyDescent="0.35">
      <c r="A121" s="130">
        <v>42548</v>
      </c>
      <c r="B121" s="24" t="s">
        <v>325</v>
      </c>
      <c r="C121" s="24" t="s">
        <v>245</v>
      </c>
      <c r="D121" s="24" t="s">
        <v>281</v>
      </c>
      <c r="E121" s="24">
        <v>2752</v>
      </c>
      <c r="F121" s="24">
        <v>328866</v>
      </c>
    </row>
    <row r="122" spans="1:6" x14ac:dyDescent="0.35">
      <c r="A122" s="130">
        <v>42549</v>
      </c>
      <c r="B122" s="24" t="s">
        <v>326</v>
      </c>
      <c r="C122" s="24" t="s">
        <v>245</v>
      </c>
      <c r="D122" s="24" t="s">
        <v>281</v>
      </c>
      <c r="E122" s="24">
        <v>4801</v>
      </c>
      <c r="F122" s="24">
        <v>328869</v>
      </c>
    </row>
    <row r="123" spans="1:6" x14ac:dyDescent="0.35">
      <c r="A123" s="130">
        <v>42550</v>
      </c>
      <c r="B123" s="24" t="s">
        <v>327</v>
      </c>
      <c r="C123" s="24" t="s">
        <v>245</v>
      </c>
      <c r="D123" s="24" t="s">
        <v>281</v>
      </c>
      <c r="E123" s="24">
        <v>3767</v>
      </c>
      <c r="F123" s="24">
        <v>328873</v>
      </c>
    </row>
    <row r="124" spans="1:6" x14ac:dyDescent="0.35">
      <c r="A124" s="130">
        <v>42551</v>
      </c>
      <c r="B124" s="24" t="s">
        <v>328</v>
      </c>
      <c r="C124" s="24" t="s">
        <v>245</v>
      </c>
      <c r="D124" s="24" t="s">
        <v>281</v>
      </c>
      <c r="E124" s="24">
        <v>4565</v>
      </c>
      <c r="F124" s="24">
        <v>328875</v>
      </c>
    </row>
    <row r="125" spans="1:6" x14ac:dyDescent="0.35">
      <c r="A125" s="130">
        <v>42552</v>
      </c>
      <c r="B125" s="24" t="s">
        <v>328</v>
      </c>
      <c r="C125" s="24" t="s">
        <v>245</v>
      </c>
      <c r="D125" s="24" t="s">
        <v>281</v>
      </c>
      <c r="E125" s="24">
        <v>4961</v>
      </c>
      <c r="F125" s="24">
        <v>328876</v>
      </c>
    </row>
    <row r="126" spans="1:6" x14ac:dyDescent="0.35">
      <c r="A126" s="130">
        <v>42553</v>
      </c>
      <c r="B126" s="24" t="s">
        <v>329</v>
      </c>
      <c r="C126" s="24" t="s">
        <v>245</v>
      </c>
      <c r="D126" s="24" t="s">
        <v>281</v>
      </c>
      <c r="E126" s="24">
        <v>1248</v>
      </c>
      <c r="F126" s="24">
        <v>328877</v>
      </c>
    </row>
    <row r="127" spans="1:6" x14ac:dyDescent="0.35">
      <c r="A127" s="130">
        <v>42554</v>
      </c>
      <c r="B127" s="24" t="s">
        <v>330</v>
      </c>
      <c r="C127" s="24" t="s">
        <v>245</v>
      </c>
      <c r="D127" s="24" t="s">
        <v>281</v>
      </c>
      <c r="E127" s="24">
        <v>2389</v>
      </c>
      <c r="F127" s="24">
        <v>328880</v>
      </c>
    </row>
    <row r="128" spans="1:6" x14ac:dyDescent="0.35">
      <c r="A128" s="130">
        <v>42555</v>
      </c>
      <c r="B128" s="24" t="s">
        <v>330</v>
      </c>
      <c r="C128" s="24" t="s">
        <v>245</v>
      </c>
      <c r="D128" s="24" t="s">
        <v>281</v>
      </c>
      <c r="E128" s="24">
        <v>3210</v>
      </c>
      <c r="F128" s="24">
        <v>328881</v>
      </c>
    </row>
    <row r="129" spans="1:6" x14ac:dyDescent="0.35">
      <c r="A129" s="130">
        <v>42556</v>
      </c>
      <c r="B129" s="24" t="s">
        <v>331</v>
      </c>
      <c r="C129" s="24" t="s">
        <v>245</v>
      </c>
      <c r="D129" s="24" t="s">
        <v>281</v>
      </c>
      <c r="E129" s="24">
        <v>2891</v>
      </c>
      <c r="F129" s="24">
        <v>328882</v>
      </c>
    </row>
    <row r="130" spans="1:6" x14ac:dyDescent="0.35">
      <c r="A130" s="130">
        <v>42557</v>
      </c>
      <c r="B130" s="24" t="s">
        <v>331</v>
      </c>
      <c r="C130" s="24" t="s">
        <v>245</v>
      </c>
      <c r="D130" s="24" t="s">
        <v>281</v>
      </c>
      <c r="E130" s="24">
        <v>3229</v>
      </c>
      <c r="F130" s="24">
        <v>328884</v>
      </c>
    </row>
    <row r="131" spans="1:6" x14ac:dyDescent="0.35">
      <c r="A131" s="130">
        <v>42558</v>
      </c>
      <c r="B131" s="24" t="s">
        <v>332</v>
      </c>
      <c r="C131" s="24" t="s">
        <v>245</v>
      </c>
      <c r="D131" s="24" t="s">
        <v>281</v>
      </c>
      <c r="E131" s="24">
        <v>4239</v>
      </c>
      <c r="F131" s="24">
        <v>328885</v>
      </c>
    </row>
    <row r="132" spans="1:6" x14ac:dyDescent="0.35">
      <c r="A132" s="130">
        <v>42559</v>
      </c>
      <c r="B132" s="24" t="s">
        <v>332</v>
      </c>
      <c r="C132" s="24" t="s">
        <v>245</v>
      </c>
      <c r="D132" s="24" t="s">
        <v>281</v>
      </c>
      <c r="E132" s="24">
        <v>2888</v>
      </c>
      <c r="F132" s="24">
        <v>328886</v>
      </c>
    </row>
    <row r="133" spans="1:6" x14ac:dyDescent="0.35">
      <c r="A133" s="130">
        <v>42560</v>
      </c>
      <c r="B133" s="24" t="s">
        <v>333</v>
      </c>
      <c r="C133" s="24" t="s">
        <v>245</v>
      </c>
      <c r="D133" s="24" t="s">
        <v>281</v>
      </c>
      <c r="E133" s="24">
        <v>1495</v>
      </c>
      <c r="F133" s="24">
        <v>328888</v>
      </c>
    </row>
    <row r="134" spans="1:6" x14ac:dyDescent="0.35">
      <c r="A134" s="130">
        <v>42561</v>
      </c>
      <c r="B134" s="24" t="s">
        <v>333</v>
      </c>
      <c r="C134" s="24" t="s">
        <v>245</v>
      </c>
      <c r="D134" s="24" t="s">
        <v>281</v>
      </c>
      <c r="E134" s="24">
        <v>4554</v>
      </c>
      <c r="F134" s="24">
        <v>328890</v>
      </c>
    </row>
    <row r="135" spans="1:6" x14ac:dyDescent="0.35">
      <c r="A135" s="130">
        <v>42562</v>
      </c>
      <c r="B135" s="24" t="s">
        <v>334</v>
      </c>
      <c r="C135" s="24" t="s">
        <v>245</v>
      </c>
      <c r="D135" s="24" t="s">
        <v>281</v>
      </c>
      <c r="E135" s="24">
        <v>3817</v>
      </c>
      <c r="F135" s="24">
        <v>328892</v>
      </c>
    </row>
    <row r="136" spans="1:6" x14ac:dyDescent="0.35">
      <c r="A136" s="130">
        <v>42563</v>
      </c>
      <c r="B136" s="24" t="s">
        <v>334</v>
      </c>
      <c r="C136" s="24" t="s">
        <v>245</v>
      </c>
      <c r="D136" s="24" t="s">
        <v>281</v>
      </c>
      <c r="E136" s="24">
        <v>2316</v>
      </c>
      <c r="F136" s="24">
        <v>328893</v>
      </c>
    </row>
    <row r="137" spans="1:6" x14ac:dyDescent="0.35">
      <c r="A137" s="130">
        <v>42564</v>
      </c>
      <c r="B137" s="24" t="s">
        <v>335</v>
      </c>
      <c r="C137" s="24" t="s">
        <v>245</v>
      </c>
      <c r="D137" s="24" t="s">
        <v>281</v>
      </c>
      <c r="E137" s="24">
        <v>4249</v>
      </c>
      <c r="F137" s="24">
        <v>348505</v>
      </c>
    </row>
    <row r="138" spans="1:6" x14ac:dyDescent="0.35">
      <c r="A138" s="130">
        <v>42565</v>
      </c>
      <c r="B138" s="24" t="s">
        <v>335</v>
      </c>
      <c r="C138" s="24" t="s">
        <v>245</v>
      </c>
      <c r="D138" s="24" t="s">
        <v>281</v>
      </c>
      <c r="E138" s="24">
        <v>2694</v>
      </c>
      <c r="F138" s="24">
        <v>348509</v>
      </c>
    </row>
    <row r="139" spans="1:6" x14ac:dyDescent="0.35">
      <c r="A139" s="130">
        <v>42566</v>
      </c>
      <c r="B139" s="24" t="s">
        <v>336</v>
      </c>
      <c r="C139" s="24" t="s">
        <v>245</v>
      </c>
      <c r="D139" s="24" t="s">
        <v>281</v>
      </c>
      <c r="E139" s="24">
        <v>4580</v>
      </c>
      <c r="F139" s="24">
        <v>348511</v>
      </c>
    </row>
    <row r="140" spans="1:6" x14ac:dyDescent="0.35">
      <c r="A140" s="130">
        <v>42567</v>
      </c>
      <c r="B140" s="24" t="s">
        <v>336</v>
      </c>
      <c r="C140" s="24" t="s">
        <v>245</v>
      </c>
      <c r="D140" s="24" t="s">
        <v>281</v>
      </c>
      <c r="E140" s="24">
        <v>1781</v>
      </c>
      <c r="F140" s="24">
        <v>348517</v>
      </c>
    </row>
    <row r="141" spans="1:6" x14ac:dyDescent="0.35">
      <c r="A141" s="130">
        <v>42568</v>
      </c>
      <c r="B141" s="24" t="s">
        <v>337</v>
      </c>
      <c r="C141" s="24" t="s">
        <v>268</v>
      </c>
      <c r="D141" s="24" t="s">
        <v>338</v>
      </c>
      <c r="E141" s="24">
        <v>3109</v>
      </c>
      <c r="F141" s="24">
        <v>348518</v>
      </c>
    </row>
    <row r="142" spans="1:6" x14ac:dyDescent="0.35">
      <c r="A142" s="130">
        <v>42569</v>
      </c>
      <c r="B142" s="24" t="s">
        <v>339</v>
      </c>
      <c r="C142" s="24" t="s">
        <v>245</v>
      </c>
      <c r="D142" s="24" t="s">
        <v>338</v>
      </c>
      <c r="E142" s="24">
        <v>3839</v>
      </c>
      <c r="F142" s="24">
        <v>348522</v>
      </c>
    </row>
    <row r="143" spans="1:6" x14ac:dyDescent="0.35">
      <c r="A143" s="130">
        <v>42570</v>
      </c>
      <c r="B143" s="24" t="s">
        <v>340</v>
      </c>
      <c r="C143" s="24" t="s">
        <v>268</v>
      </c>
      <c r="D143" s="24" t="s">
        <v>338</v>
      </c>
      <c r="E143" s="24">
        <v>1722</v>
      </c>
      <c r="F143" s="24">
        <v>348524</v>
      </c>
    </row>
    <row r="144" spans="1:6" x14ac:dyDescent="0.35">
      <c r="A144" s="130">
        <v>42571</v>
      </c>
      <c r="B144" s="24" t="s">
        <v>341</v>
      </c>
      <c r="C144" s="24" t="s">
        <v>245</v>
      </c>
      <c r="D144" s="24" t="s">
        <v>338</v>
      </c>
      <c r="E144" s="24">
        <v>2994</v>
      </c>
      <c r="F144" s="24">
        <v>348527</v>
      </c>
    </row>
    <row r="145" spans="1:6" x14ac:dyDescent="0.35">
      <c r="A145" s="130">
        <v>42572</v>
      </c>
      <c r="B145" s="24" t="s">
        <v>342</v>
      </c>
      <c r="C145" s="24" t="s">
        <v>268</v>
      </c>
      <c r="D145" s="24" t="s">
        <v>338</v>
      </c>
      <c r="E145" s="24">
        <v>1040</v>
      </c>
      <c r="F145" s="24">
        <v>348530</v>
      </c>
    </row>
    <row r="146" spans="1:6" x14ac:dyDescent="0.35">
      <c r="A146" s="130">
        <v>42573</v>
      </c>
      <c r="B146" s="24" t="s">
        <v>343</v>
      </c>
      <c r="C146" s="24" t="s">
        <v>245</v>
      </c>
      <c r="D146" s="24" t="s">
        <v>338</v>
      </c>
      <c r="E146" s="24">
        <v>3390</v>
      </c>
      <c r="F146" s="24">
        <v>348540</v>
      </c>
    </row>
    <row r="147" spans="1:6" x14ac:dyDescent="0.35">
      <c r="A147" s="130">
        <v>42574</v>
      </c>
      <c r="B147" s="24" t="s">
        <v>344</v>
      </c>
      <c r="C147" s="24" t="s">
        <v>268</v>
      </c>
      <c r="D147" s="24" t="s">
        <v>338</v>
      </c>
      <c r="E147" s="24">
        <v>3835</v>
      </c>
      <c r="F147" s="24">
        <v>348546</v>
      </c>
    </row>
    <row r="148" spans="1:6" x14ac:dyDescent="0.35">
      <c r="A148" s="130">
        <v>42575</v>
      </c>
      <c r="B148" s="24" t="s">
        <v>345</v>
      </c>
      <c r="C148" s="24" t="s">
        <v>268</v>
      </c>
      <c r="D148" s="24" t="s">
        <v>338</v>
      </c>
      <c r="E148" s="24">
        <v>2382</v>
      </c>
      <c r="F148" s="24">
        <v>348549</v>
      </c>
    </row>
    <row r="149" spans="1:6" x14ac:dyDescent="0.35">
      <c r="A149" s="130">
        <v>42576</v>
      </c>
      <c r="B149" s="24" t="s">
        <v>346</v>
      </c>
      <c r="C149" s="24" t="s">
        <v>245</v>
      </c>
      <c r="D149" s="24" t="s">
        <v>338</v>
      </c>
      <c r="E149" s="24">
        <v>2001</v>
      </c>
      <c r="F149" s="24">
        <v>348554</v>
      </c>
    </row>
    <row r="150" spans="1:6" x14ac:dyDescent="0.35">
      <c r="A150" s="130">
        <v>42577</v>
      </c>
      <c r="B150" s="24" t="s">
        <v>347</v>
      </c>
      <c r="C150" s="24" t="s">
        <v>268</v>
      </c>
      <c r="D150" s="24" t="s">
        <v>338</v>
      </c>
      <c r="E150" s="24">
        <v>2236</v>
      </c>
      <c r="F150" s="24">
        <v>348558</v>
      </c>
    </row>
    <row r="151" spans="1:6" x14ac:dyDescent="0.35">
      <c r="A151" s="130">
        <v>42578</v>
      </c>
      <c r="B151" s="24" t="s">
        <v>348</v>
      </c>
      <c r="C151" s="24" t="s">
        <v>245</v>
      </c>
      <c r="D151" s="24" t="s">
        <v>338</v>
      </c>
      <c r="E151" s="24">
        <v>4055</v>
      </c>
      <c r="F151" s="24">
        <v>348559</v>
      </c>
    </row>
    <row r="152" spans="1:6" x14ac:dyDescent="0.35">
      <c r="A152" s="130">
        <v>42579</v>
      </c>
      <c r="B152" s="24" t="s">
        <v>348</v>
      </c>
      <c r="C152" s="24" t="s">
        <v>245</v>
      </c>
      <c r="D152" s="24" t="s">
        <v>338</v>
      </c>
      <c r="E152" s="24">
        <v>4207</v>
      </c>
      <c r="F152" s="24">
        <v>348563</v>
      </c>
    </row>
    <row r="153" spans="1:6" x14ac:dyDescent="0.35">
      <c r="A153" s="130">
        <v>42580</v>
      </c>
      <c r="B153" s="24" t="s">
        <v>349</v>
      </c>
      <c r="C153" s="24" t="s">
        <v>245</v>
      </c>
      <c r="D153" s="24" t="s">
        <v>338</v>
      </c>
      <c r="E153" s="24">
        <v>3043</v>
      </c>
      <c r="F153" s="24">
        <v>348564</v>
      </c>
    </row>
    <row r="154" spans="1:6" x14ac:dyDescent="0.35">
      <c r="A154" s="130">
        <v>42581</v>
      </c>
      <c r="B154" s="24" t="s">
        <v>350</v>
      </c>
      <c r="C154" s="24" t="s">
        <v>268</v>
      </c>
      <c r="D154" s="24" t="s">
        <v>338</v>
      </c>
      <c r="E154" s="24">
        <v>2321</v>
      </c>
      <c r="F154" s="24">
        <v>348566</v>
      </c>
    </row>
    <row r="155" spans="1:6" x14ac:dyDescent="0.35">
      <c r="A155" s="130">
        <v>42582</v>
      </c>
      <c r="B155" s="24" t="s">
        <v>351</v>
      </c>
      <c r="C155" s="24" t="s">
        <v>268</v>
      </c>
      <c r="D155" s="24" t="s">
        <v>338</v>
      </c>
      <c r="E155" s="24">
        <v>2481</v>
      </c>
      <c r="F155" s="24">
        <v>348570</v>
      </c>
    </row>
    <row r="156" spans="1:6" x14ac:dyDescent="0.35">
      <c r="A156" s="130">
        <v>42583</v>
      </c>
      <c r="B156" s="24" t="s">
        <v>352</v>
      </c>
      <c r="C156" s="24" t="s">
        <v>268</v>
      </c>
      <c r="D156" s="24" t="s">
        <v>338</v>
      </c>
      <c r="E156" s="24">
        <v>1508</v>
      </c>
      <c r="F156" s="24">
        <v>348572</v>
      </c>
    </row>
    <row r="157" spans="1:6" x14ac:dyDescent="0.35">
      <c r="A157" s="130">
        <v>42584</v>
      </c>
      <c r="B157" s="24" t="s">
        <v>353</v>
      </c>
      <c r="C157" s="24" t="s">
        <v>245</v>
      </c>
      <c r="D157" s="24" t="s">
        <v>338</v>
      </c>
      <c r="E157" s="24">
        <v>1844</v>
      </c>
      <c r="F157" s="24">
        <v>348573</v>
      </c>
    </row>
    <row r="158" spans="1:6" x14ac:dyDescent="0.35">
      <c r="A158" s="130">
        <v>42585</v>
      </c>
      <c r="B158" s="24" t="s">
        <v>353</v>
      </c>
      <c r="C158" s="24" t="s">
        <v>245</v>
      </c>
      <c r="D158" s="24" t="s">
        <v>338</v>
      </c>
      <c r="E158" s="24">
        <v>1343</v>
      </c>
      <c r="F158" s="24">
        <v>320518</v>
      </c>
    </row>
    <row r="159" spans="1:6" x14ac:dyDescent="0.35">
      <c r="A159" s="130">
        <v>42586</v>
      </c>
      <c r="B159" s="24" t="s">
        <v>354</v>
      </c>
      <c r="C159" s="24" t="s">
        <v>245</v>
      </c>
      <c r="D159" s="24" t="s">
        <v>338</v>
      </c>
      <c r="E159" s="24">
        <v>2698</v>
      </c>
      <c r="F159" s="24">
        <v>320523</v>
      </c>
    </row>
    <row r="160" spans="1:6" x14ac:dyDescent="0.35">
      <c r="A160" s="130">
        <v>42587</v>
      </c>
      <c r="B160" s="24" t="s">
        <v>354</v>
      </c>
      <c r="C160" s="24" t="s">
        <v>245</v>
      </c>
      <c r="D160" s="24" t="s">
        <v>338</v>
      </c>
      <c r="E160" s="24">
        <v>4781</v>
      </c>
      <c r="F160" s="24">
        <v>320528</v>
      </c>
    </row>
    <row r="161" spans="1:6" x14ac:dyDescent="0.35">
      <c r="A161" s="130">
        <v>42588</v>
      </c>
      <c r="B161" s="24" t="s">
        <v>355</v>
      </c>
      <c r="C161" s="24" t="s">
        <v>268</v>
      </c>
      <c r="D161" s="24" t="s">
        <v>338</v>
      </c>
      <c r="E161" s="24">
        <v>2778</v>
      </c>
      <c r="F161" s="24">
        <v>320529</v>
      </c>
    </row>
    <row r="162" spans="1:6" x14ac:dyDescent="0.35">
      <c r="A162" s="130">
        <v>42589</v>
      </c>
      <c r="B162" s="24" t="s">
        <v>356</v>
      </c>
      <c r="C162" s="24" t="s">
        <v>268</v>
      </c>
      <c r="D162" s="24" t="s">
        <v>338</v>
      </c>
      <c r="E162" s="24">
        <v>4066</v>
      </c>
      <c r="F162" s="24">
        <v>320533</v>
      </c>
    </row>
    <row r="163" spans="1:6" x14ac:dyDescent="0.35">
      <c r="A163" s="130">
        <v>42590</v>
      </c>
      <c r="B163" s="24" t="s">
        <v>357</v>
      </c>
      <c r="C163" s="24" t="s">
        <v>268</v>
      </c>
      <c r="D163" s="24" t="s">
        <v>338</v>
      </c>
      <c r="E163" s="24">
        <v>2854</v>
      </c>
      <c r="F163" s="24">
        <v>320548</v>
      </c>
    </row>
    <row r="164" spans="1:6" x14ac:dyDescent="0.35">
      <c r="A164" s="130">
        <v>42591</v>
      </c>
      <c r="B164" s="24" t="s">
        <v>358</v>
      </c>
      <c r="C164" s="24" t="s">
        <v>268</v>
      </c>
      <c r="D164" s="24" t="s">
        <v>338</v>
      </c>
      <c r="E164" s="24">
        <v>1235</v>
      </c>
      <c r="F164" s="24">
        <v>320549</v>
      </c>
    </row>
    <row r="165" spans="1:6" x14ac:dyDescent="0.35">
      <c r="A165" s="130">
        <v>42592</v>
      </c>
      <c r="B165" s="24" t="s">
        <v>359</v>
      </c>
      <c r="C165" s="24" t="s">
        <v>245</v>
      </c>
      <c r="D165" s="24" t="s">
        <v>338</v>
      </c>
      <c r="E165" s="24">
        <v>3774</v>
      </c>
      <c r="F165" s="24">
        <v>320552</v>
      </c>
    </row>
    <row r="166" spans="1:6" x14ac:dyDescent="0.35">
      <c r="A166" s="130">
        <v>42593</v>
      </c>
      <c r="B166" s="24" t="s">
        <v>360</v>
      </c>
      <c r="C166" s="24" t="s">
        <v>245</v>
      </c>
      <c r="D166" s="24" t="s">
        <v>338</v>
      </c>
      <c r="E166" s="24">
        <v>1931</v>
      </c>
      <c r="F166" s="24">
        <v>320556</v>
      </c>
    </row>
    <row r="167" spans="1:6" x14ac:dyDescent="0.35">
      <c r="A167" s="130">
        <v>42594</v>
      </c>
      <c r="B167" s="24" t="s">
        <v>360</v>
      </c>
      <c r="C167" s="24" t="s">
        <v>245</v>
      </c>
      <c r="D167" s="24" t="s">
        <v>338</v>
      </c>
      <c r="E167" s="24">
        <v>2911</v>
      </c>
      <c r="F167" s="24">
        <v>320560</v>
      </c>
    </row>
    <row r="168" spans="1:6" x14ac:dyDescent="0.35">
      <c r="A168" s="130">
        <v>42595</v>
      </c>
      <c r="B168" s="24" t="s">
        <v>361</v>
      </c>
      <c r="C168" s="24" t="s">
        <v>245</v>
      </c>
      <c r="D168" s="24" t="s">
        <v>338</v>
      </c>
      <c r="E168" s="24">
        <v>4810</v>
      </c>
      <c r="F168" s="24">
        <v>320561</v>
      </c>
    </row>
    <row r="169" spans="1:6" x14ac:dyDescent="0.35">
      <c r="A169" s="130">
        <v>42596</v>
      </c>
      <c r="B169" s="24" t="s">
        <v>362</v>
      </c>
      <c r="C169" s="24" t="s">
        <v>245</v>
      </c>
      <c r="D169" s="24" t="s">
        <v>338</v>
      </c>
      <c r="E169" s="24">
        <v>2481</v>
      </c>
      <c r="F169" s="24">
        <v>320564</v>
      </c>
    </row>
    <row r="170" spans="1:6" x14ac:dyDescent="0.35">
      <c r="A170" s="130">
        <v>42597</v>
      </c>
      <c r="B170" s="24" t="s">
        <v>362</v>
      </c>
      <c r="C170" s="24" t="s">
        <v>245</v>
      </c>
      <c r="D170" s="24" t="s">
        <v>338</v>
      </c>
      <c r="E170" s="24">
        <v>2947</v>
      </c>
      <c r="F170" s="24">
        <v>320565</v>
      </c>
    </row>
    <row r="171" spans="1:6" x14ac:dyDescent="0.35">
      <c r="A171" s="130">
        <v>42598</v>
      </c>
      <c r="B171" s="24" t="s">
        <v>363</v>
      </c>
      <c r="C171" s="24" t="s">
        <v>245</v>
      </c>
      <c r="D171" s="24" t="s">
        <v>338</v>
      </c>
      <c r="E171" s="24">
        <v>1383</v>
      </c>
      <c r="F171" s="24">
        <v>320576</v>
      </c>
    </row>
    <row r="172" spans="1:6" x14ac:dyDescent="0.35">
      <c r="A172" s="130">
        <v>42599</v>
      </c>
      <c r="B172" s="24" t="s">
        <v>364</v>
      </c>
      <c r="C172" s="24" t="s">
        <v>268</v>
      </c>
      <c r="D172" s="24" t="s">
        <v>338</v>
      </c>
      <c r="E172" s="24">
        <v>1149</v>
      </c>
      <c r="F172" s="24">
        <v>320577</v>
      </c>
    </row>
    <row r="173" spans="1:6" x14ac:dyDescent="0.35">
      <c r="A173" s="130">
        <v>42600</v>
      </c>
      <c r="B173" s="24" t="s">
        <v>365</v>
      </c>
      <c r="C173" s="24" t="s">
        <v>268</v>
      </c>
      <c r="D173" s="24" t="s">
        <v>338</v>
      </c>
      <c r="E173" s="24">
        <v>4293</v>
      </c>
      <c r="F173" s="24">
        <v>320581</v>
      </c>
    </row>
    <row r="174" spans="1:6" x14ac:dyDescent="0.35">
      <c r="A174" s="130">
        <v>42601</v>
      </c>
      <c r="B174" s="24" t="s">
        <v>366</v>
      </c>
      <c r="C174" s="24" t="s">
        <v>245</v>
      </c>
      <c r="D174" s="24" t="s">
        <v>338</v>
      </c>
      <c r="E174" s="24">
        <v>1564</v>
      </c>
      <c r="F174" s="24">
        <v>320584</v>
      </c>
    </row>
    <row r="175" spans="1:6" x14ac:dyDescent="0.35">
      <c r="A175" s="130">
        <v>42602</v>
      </c>
      <c r="B175" s="24" t="s">
        <v>367</v>
      </c>
      <c r="C175" s="24" t="s">
        <v>245</v>
      </c>
      <c r="D175" s="24" t="s">
        <v>338</v>
      </c>
      <c r="E175" s="24">
        <v>3122</v>
      </c>
      <c r="F175" s="24">
        <v>320585</v>
      </c>
    </row>
    <row r="176" spans="1:6" x14ac:dyDescent="0.35">
      <c r="A176" s="130">
        <v>42603</v>
      </c>
      <c r="B176" s="24" t="s">
        <v>367</v>
      </c>
      <c r="C176" s="24" t="s">
        <v>245</v>
      </c>
      <c r="D176" s="24" t="s">
        <v>338</v>
      </c>
      <c r="E176" s="24">
        <v>4285</v>
      </c>
      <c r="F176" s="24">
        <v>320589</v>
      </c>
    </row>
    <row r="177" spans="1:6" x14ac:dyDescent="0.35">
      <c r="A177" s="130">
        <v>42604</v>
      </c>
      <c r="B177" s="24" t="s">
        <v>368</v>
      </c>
      <c r="C177" s="24" t="s">
        <v>245</v>
      </c>
      <c r="D177" s="24" t="s">
        <v>338</v>
      </c>
      <c r="E177" s="24">
        <v>3941</v>
      </c>
      <c r="F177" s="24">
        <v>320590</v>
      </c>
    </row>
    <row r="178" spans="1:6" x14ac:dyDescent="0.35">
      <c r="A178" s="130">
        <v>42605</v>
      </c>
      <c r="B178" s="24" t="s">
        <v>369</v>
      </c>
      <c r="C178" s="24" t="s">
        <v>245</v>
      </c>
      <c r="D178" s="24" t="s">
        <v>338</v>
      </c>
      <c r="E178" s="24">
        <v>1904</v>
      </c>
      <c r="F178" s="24">
        <v>320591</v>
      </c>
    </row>
    <row r="179" spans="1:6" x14ac:dyDescent="0.35">
      <c r="A179" s="130">
        <v>42606</v>
      </c>
      <c r="B179" s="24" t="s">
        <v>369</v>
      </c>
      <c r="C179" s="24" t="s">
        <v>245</v>
      </c>
      <c r="D179" s="24" t="s">
        <v>338</v>
      </c>
      <c r="E179" s="24">
        <v>2256</v>
      </c>
      <c r="F179" s="24">
        <v>320603</v>
      </c>
    </row>
    <row r="180" spans="1:6" x14ac:dyDescent="0.35">
      <c r="A180" s="130">
        <v>42607</v>
      </c>
      <c r="B180" s="24" t="s">
        <v>370</v>
      </c>
      <c r="C180" s="24" t="s">
        <v>245</v>
      </c>
      <c r="D180" s="24" t="s">
        <v>338</v>
      </c>
      <c r="E180" s="24">
        <v>3812</v>
      </c>
      <c r="F180" s="24">
        <v>320605</v>
      </c>
    </row>
    <row r="181" spans="1:6" x14ac:dyDescent="0.35">
      <c r="A181" s="130">
        <v>42608</v>
      </c>
      <c r="B181" s="24" t="s">
        <v>371</v>
      </c>
      <c r="C181" s="24" t="s">
        <v>245</v>
      </c>
      <c r="D181" s="24" t="s">
        <v>338</v>
      </c>
      <c r="E181" s="24">
        <v>4917</v>
      </c>
      <c r="F181" s="24">
        <v>320606</v>
      </c>
    </row>
    <row r="182" spans="1:6" x14ac:dyDescent="0.35">
      <c r="A182" s="130">
        <v>42609</v>
      </c>
      <c r="B182" s="24" t="s">
        <v>372</v>
      </c>
      <c r="C182" s="24" t="s">
        <v>245</v>
      </c>
      <c r="D182" s="24" t="s">
        <v>338</v>
      </c>
      <c r="E182" s="24">
        <v>1535</v>
      </c>
      <c r="F182" s="24">
        <v>320607</v>
      </c>
    </row>
    <row r="183" spans="1:6" x14ac:dyDescent="0.35">
      <c r="A183" s="130">
        <v>42610</v>
      </c>
      <c r="B183" s="24" t="s">
        <v>373</v>
      </c>
      <c r="C183" s="24" t="s">
        <v>245</v>
      </c>
      <c r="D183" s="24" t="s">
        <v>338</v>
      </c>
      <c r="E183" s="24">
        <v>4099</v>
      </c>
      <c r="F183" s="24">
        <v>320610</v>
      </c>
    </row>
    <row r="184" spans="1:6" x14ac:dyDescent="0.35">
      <c r="A184" s="130">
        <v>42611</v>
      </c>
      <c r="B184" s="24" t="s">
        <v>373</v>
      </c>
      <c r="C184" s="24" t="s">
        <v>245</v>
      </c>
      <c r="D184" s="24" t="s">
        <v>338</v>
      </c>
      <c r="E184" s="24">
        <v>2163</v>
      </c>
      <c r="F184" s="24">
        <v>320613</v>
      </c>
    </row>
    <row r="185" spans="1:6" x14ac:dyDescent="0.35">
      <c r="A185" s="130">
        <v>42612</v>
      </c>
      <c r="B185" s="24" t="s">
        <v>374</v>
      </c>
      <c r="C185" s="24" t="s">
        <v>245</v>
      </c>
      <c r="D185" s="24" t="s">
        <v>338</v>
      </c>
      <c r="E185" s="24">
        <v>2752</v>
      </c>
      <c r="F185" s="24">
        <v>320627</v>
      </c>
    </row>
    <row r="186" spans="1:6" x14ac:dyDescent="0.35">
      <c r="A186" s="130">
        <v>42613</v>
      </c>
      <c r="B186" s="24" t="s">
        <v>375</v>
      </c>
      <c r="C186" s="24" t="s">
        <v>245</v>
      </c>
      <c r="D186" s="24" t="s">
        <v>338</v>
      </c>
      <c r="E186" s="24">
        <v>1674</v>
      </c>
      <c r="F186" s="24">
        <v>320628</v>
      </c>
    </row>
    <row r="187" spans="1:6" x14ac:dyDescent="0.35">
      <c r="A187" s="130">
        <v>42614</v>
      </c>
      <c r="B187" s="24" t="s">
        <v>376</v>
      </c>
      <c r="C187" s="24" t="s">
        <v>245</v>
      </c>
      <c r="D187" s="24" t="s">
        <v>338</v>
      </c>
      <c r="E187" s="24">
        <v>3211</v>
      </c>
      <c r="F187" s="24">
        <v>320630</v>
      </c>
    </row>
    <row r="188" spans="1:6" x14ac:dyDescent="0.35">
      <c r="A188" s="130">
        <v>42615</v>
      </c>
      <c r="B188" s="24" t="s">
        <v>377</v>
      </c>
      <c r="C188" s="24" t="s">
        <v>245</v>
      </c>
      <c r="D188" s="24" t="s">
        <v>338</v>
      </c>
      <c r="E188" s="24">
        <v>2358</v>
      </c>
      <c r="F188" s="24">
        <v>320632</v>
      </c>
    </row>
    <row r="189" spans="1:6" x14ac:dyDescent="0.35">
      <c r="A189" s="130">
        <v>42616</v>
      </c>
      <c r="B189" s="24" t="s">
        <v>377</v>
      </c>
      <c r="C189" s="24" t="s">
        <v>245</v>
      </c>
      <c r="D189" s="24" t="s">
        <v>338</v>
      </c>
      <c r="E189" s="24">
        <v>1464</v>
      </c>
      <c r="F189" s="24">
        <v>324511</v>
      </c>
    </row>
    <row r="190" spans="1:6" x14ac:dyDescent="0.35">
      <c r="A190" s="130">
        <v>42617</v>
      </c>
      <c r="B190" s="24" t="s">
        <v>377</v>
      </c>
      <c r="C190" s="24" t="s">
        <v>245</v>
      </c>
      <c r="D190" s="24" t="s">
        <v>338</v>
      </c>
      <c r="E190" s="24">
        <v>4005</v>
      </c>
      <c r="F190" s="24">
        <v>324525</v>
      </c>
    </row>
    <row r="191" spans="1:6" x14ac:dyDescent="0.35">
      <c r="A191" s="130">
        <v>42618</v>
      </c>
      <c r="B191" s="24" t="s">
        <v>378</v>
      </c>
      <c r="C191" s="24" t="s">
        <v>245</v>
      </c>
      <c r="D191" s="24" t="s">
        <v>338</v>
      </c>
      <c r="E191" s="24">
        <v>2491</v>
      </c>
      <c r="F191" s="24">
        <v>324548</v>
      </c>
    </row>
    <row r="192" spans="1:6" x14ac:dyDescent="0.35">
      <c r="A192" s="130">
        <v>42619</v>
      </c>
      <c r="B192" s="24" t="s">
        <v>378</v>
      </c>
      <c r="C192" s="24" t="s">
        <v>245</v>
      </c>
      <c r="D192" s="24" t="s">
        <v>338</v>
      </c>
      <c r="E192" s="24">
        <v>4458</v>
      </c>
      <c r="F192" s="24">
        <v>324549</v>
      </c>
    </row>
    <row r="193" spans="1:6" x14ac:dyDescent="0.35">
      <c r="A193" s="130">
        <v>42620</v>
      </c>
      <c r="B193" s="24" t="s">
        <v>379</v>
      </c>
      <c r="C193" s="24" t="s">
        <v>245</v>
      </c>
      <c r="D193" s="24" t="s">
        <v>338</v>
      </c>
      <c r="E193" s="24">
        <v>4582</v>
      </c>
      <c r="F193" s="24">
        <v>324559</v>
      </c>
    </row>
    <row r="194" spans="1:6" x14ac:dyDescent="0.35">
      <c r="A194" s="130">
        <v>42621</v>
      </c>
      <c r="B194" s="24" t="s">
        <v>379</v>
      </c>
      <c r="C194" s="24" t="s">
        <v>245</v>
      </c>
      <c r="D194" s="24" t="s">
        <v>338</v>
      </c>
      <c r="E194" s="24">
        <v>2497</v>
      </c>
      <c r="F194" s="24">
        <v>324567</v>
      </c>
    </row>
    <row r="195" spans="1:6" x14ac:dyDescent="0.35">
      <c r="A195" s="130">
        <v>42622</v>
      </c>
      <c r="B195" s="24" t="s">
        <v>380</v>
      </c>
      <c r="C195" s="24" t="s">
        <v>245</v>
      </c>
      <c r="D195" s="24" t="s">
        <v>338</v>
      </c>
      <c r="E195" s="24">
        <v>2528</v>
      </c>
      <c r="F195" s="24">
        <v>324568</v>
      </c>
    </row>
    <row r="196" spans="1:6" x14ac:dyDescent="0.35">
      <c r="A196" s="130">
        <v>42623</v>
      </c>
      <c r="B196" s="24" t="s">
        <v>380</v>
      </c>
      <c r="C196" s="24" t="s">
        <v>245</v>
      </c>
      <c r="D196" s="24" t="s">
        <v>338</v>
      </c>
      <c r="E196" s="24">
        <v>2532</v>
      </c>
      <c r="F196" s="24">
        <v>324571</v>
      </c>
    </row>
    <row r="197" spans="1:6" x14ac:dyDescent="0.35">
      <c r="A197" s="130">
        <v>42624</v>
      </c>
      <c r="B197" s="24" t="s">
        <v>381</v>
      </c>
      <c r="C197" s="24" t="s">
        <v>245</v>
      </c>
      <c r="D197" s="24" t="s">
        <v>338</v>
      </c>
      <c r="E197" s="24">
        <v>2621</v>
      </c>
      <c r="F197" s="24">
        <v>324573</v>
      </c>
    </row>
    <row r="198" spans="1:6" x14ac:dyDescent="0.35">
      <c r="A198" s="130">
        <v>42625</v>
      </c>
      <c r="B198" s="24" t="s">
        <v>381</v>
      </c>
      <c r="C198" s="24" t="s">
        <v>245</v>
      </c>
      <c r="D198" s="24" t="s">
        <v>338</v>
      </c>
      <c r="E198" s="24">
        <v>3644</v>
      </c>
      <c r="F198" s="24">
        <v>324575</v>
      </c>
    </row>
    <row r="199" spans="1:6" x14ac:dyDescent="0.35">
      <c r="A199" s="130">
        <v>42626</v>
      </c>
      <c r="B199" s="24" t="s">
        <v>382</v>
      </c>
      <c r="C199" s="24" t="s">
        <v>245</v>
      </c>
      <c r="D199" s="24" t="s">
        <v>338</v>
      </c>
      <c r="E199" s="24">
        <v>2822</v>
      </c>
      <c r="F199" s="24">
        <v>324600</v>
      </c>
    </row>
    <row r="200" spans="1:6" x14ac:dyDescent="0.35">
      <c r="A200" s="130">
        <v>42627</v>
      </c>
      <c r="B200" s="24" t="s">
        <v>383</v>
      </c>
      <c r="C200" s="24" t="s">
        <v>245</v>
      </c>
      <c r="D200" s="24" t="s">
        <v>338</v>
      </c>
      <c r="E200" s="24">
        <v>1468</v>
      </c>
      <c r="F200" s="24">
        <v>324620</v>
      </c>
    </row>
    <row r="201" spans="1:6" x14ac:dyDescent="0.35">
      <c r="A201" s="130">
        <v>42628</v>
      </c>
      <c r="B201" s="24" t="s">
        <v>384</v>
      </c>
      <c r="C201" s="24" t="s">
        <v>245</v>
      </c>
      <c r="D201" s="24" t="s">
        <v>338</v>
      </c>
      <c r="E201" s="24">
        <v>2740</v>
      </c>
      <c r="F201" s="24">
        <v>324624</v>
      </c>
    </row>
    <row r="202" spans="1:6" x14ac:dyDescent="0.35">
      <c r="A202" s="130">
        <v>42629</v>
      </c>
      <c r="B202" s="24" t="s">
        <v>384</v>
      </c>
      <c r="C202" s="24" t="s">
        <v>245</v>
      </c>
      <c r="D202" s="24" t="s">
        <v>338</v>
      </c>
      <c r="E202" s="24">
        <v>1669</v>
      </c>
      <c r="F202" s="24">
        <v>324630</v>
      </c>
    </row>
    <row r="203" spans="1:6" x14ac:dyDescent="0.35">
      <c r="A203" s="130">
        <v>42630</v>
      </c>
      <c r="B203" s="24" t="s">
        <v>385</v>
      </c>
      <c r="C203" s="24" t="s">
        <v>245</v>
      </c>
      <c r="D203" s="24" t="s">
        <v>338</v>
      </c>
      <c r="E203" s="24">
        <v>3309</v>
      </c>
      <c r="F203" s="24">
        <v>324651</v>
      </c>
    </row>
    <row r="204" spans="1:6" x14ac:dyDescent="0.35">
      <c r="A204" s="130">
        <v>42631</v>
      </c>
      <c r="B204" s="24" t="s">
        <v>385</v>
      </c>
      <c r="C204" s="24" t="s">
        <v>245</v>
      </c>
      <c r="D204" s="24" t="s">
        <v>338</v>
      </c>
      <c r="E204" s="24">
        <v>3119</v>
      </c>
      <c r="F204" s="24">
        <v>324657</v>
      </c>
    </row>
    <row r="205" spans="1:6" x14ac:dyDescent="0.35">
      <c r="A205" s="130">
        <v>42632</v>
      </c>
      <c r="B205" s="24" t="s">
        <v>386</v>
      </c>
      <c r="C205" s="24" t="s">
        <v>245</v>
      </c>
      <c r="D205" s="24" t="s">
        <v>338</v>
      </c>
      <c r="E205" s="24">
        <v>3529</v>
      </c>
      <c r="F205" s="24">
        <v>324659</v>
      </c>
    </row>
    <row r="206" spans="1:6" x14ac:dyDescent="0.35">
      <c r="A206" s="130">
        <v>42633</v>
      </c>
      <c r="B206" s="24" t="s">
        <v>386</v>
      </c>
      <c r="C206" s="24" t="s">
        <v>245</v>
      </c>
      <c r="D206" s="24" t="s">
        <v>338</v>
      </c>
      <c r="E206" s="24">
        <v>1435</v>
      </c>
      <c r="F206" s="24">
        <v>324666</v>
      </c>
    </row>
    <row r="207" spans="1:6" x14ac:dyDescent="0.35">
      <c r="A207" s="130">
        <v>42634</v>
      </c>
      <c r="B207" s="24" t="s">
        <v>387</v>
      </c>
      <c r="C207" s="24" t="s">
        <v>245</v>
      </c>
      <c r="D207" s="24" t="s">
        <v>388</v>
      </c>
      <c r="E207" s="24">
        <v>1971</v>
      </c>
      <c r="F207" s="24">
        <v>324673</v>
      </c>
    </row>
    <row r="208" spans="1:6" x14ac:dyDescent="0.35">
      <c r="A208" s="130">
        <v>42635</v>
      </c>
      <c r="B208" s="24" t="s">
        <v>389</v>
      </c>
      <c r="C208" s="24" t="s">
        <v>245</v>
      </c>
      <c r="D208" s="24" t="s">
        <v>388</v>
      </c>
      <c r="E208" s="24">
        <v>3125</v>
      </c>
      <c r="F208" s="24">
        <v>324678</v>
      </c>
    </row>
    <row r="209" spans="1:6" x14ac:dyDescent="0.35">
      <c r="A209" s="130">
        <v>42636</v>
      </c>
      <c r="B209" s="24" t="s">
        <v>390</v>
      </c>
      <c r="C209" s="24" t="s">
        <v>245</v>
      </c>
      <c r="D209" s="24" t="s">
        <v>388</v>
      </c>
      <c r="E209" s="24">
        <v>1588</v>
      </c>
      <c r="F209" s="24">
        <v>324681</v>
      </c>
    </row>
    <row r="210" spans="1:6" x14ac:dyDescent="0.35">
      <c r="A210" s="130">
        <v>42637</v>
      </c>
      <c r="B210" s="24" t="s">
        <v>391</v>
      </c>
      <c r="C210" s="24" t="s">
        <v>245</v>
      </c>
      <c r="D210" s="24" t="s">
        <v>388</v>
      </c>
      <c r="E210" s="24">
        <v>4466</v>
      </c>
      <c r="F210" s="24">
        <v>324683</v>
      </c>
    </row>
    <row r="211" spans="1:6" x14ac:dyDescent="0.35">
      <c r="A211" s="130">
        <v>42638</v>
      </c>
      <c r="B211" s="24" t="s">
        <v>391</v>
      </c>
      <c r="C211" s="24" t="s">
        <v>245</v>
      </c>
      <c r="D211" s="24" t="s">
        <v>388</v>
      </c>
      <c r="E211" s="24">
        <v>4111</v>
      </c>
      <c r="F211" s="24">
        <v>324692</v>
      </c>
    </row>
    <row r="212" spans="1:6" x14ac:dyDescent="0.35">
      <c r="A212" s="130">
        <v>42639</v>
      </c>
      <c r="B212" s="24" t="s">
        <v>392</v>
      </c>
      <c r="C212" s="24" t="s">
        <v>268</v>
      </c>
      <c r="D212" s="24" t="s">
        <v>388</v>
      </c>
      <c r="E212" s="24">
        <v>4992</v>
      </c>
      <c r="F212" s="24">
        <v>324695</v>
      </c>
    </row>
    <row r="213" spans="1:6" x14ac:dyDescent="0.35">
      <c r="A213" s="130">
        <v>42640</v>
      </c>
      <c r="B213" s="24" t="s">
        <v>393</v>
      </c>
      <c r="C213" s="24" t="s">
        <v>245</v>
      </c>
      <c r="D213" s="24" t="s">
        <v>388</v>
      </c>
      <c r="E213" s="24">
        <v>1443</v>
      </c>
      <c r="F213" s="24">
        <v>324696</v>
      </c>
    </row>
    <row r="214" spans="1:6" x14ac:dyDescent="0.35">
      <c r="A214" s="130">
        <v>42641</v>
      </c>
      <c r="B214" s="24" t="s">
        <v>394</v>
      </c>
      <c r="C214" s="24" t="s">
        <v>245</v>
      </c>
      <c r="D214" s="24" t="s">
        <v>388</v>
      </c>
      <c r="E214" s="24">
        <v>2980</v>
      </c>
      <c r="F214" s="24">
        <v>324699</v>
      </c>
    </row>
    <row r="215" spans="1:6" x14ac:dyDescent="0.35">
      <c r="A215" s="130">
        <v>42642</v>
      </c>
      <c r="B215" s="24" t="s">
        <v>395</v>
      </c>
      <c r="C215" s="24" t="s">
        <v>245</v>
      </c>
      <c r="D215" s="24" t="s">
        <v>388</v>
      </c>
      <c r="E215" s="24">
        <v>1827</v>
      </c>
      <c r="F215" s="24">
        <v>324701</v>
      </c>
    </row>
    <row r="216" spans="1:6" x14ac:dyDescent="0.35">
      <c r="A216" s="130">
        <v>42643</v>
      </c>
      <c r="B216" s="24" t="s">
        <v>396</v>
      </c>
      <c r="C216" s="24" t="s">
        <v>268</v>
      </c>
      <c r="D216" s="24" t="s">
        <v>388</v>
      </c>
      <c r="E216" s="24">
        <v>2054</v>
      </c>
      <c r="F216" s="24">
        <v>324703</v>
      </c>
    </row>
    <row r="217" spans="1:6" x14ac:dyDescent="0.35">
      <c r="A217" s="130">
        <v>42644</v>
      </c>
      <c r="B217" s="24" t="s">
        <v>397</v>
      </c>
      <c r="C217" s="24" t="s">
        <v>245</v>
      </c>
      <c r="D217" s="24" t="s">
        <v>388</v>
      </c>
      <c r="E217" s="24">
        <v>4579</v>
      </c>
      <c r="F217" s="24">
        <v>324705</v>
      </c>
    </row>
    <row r="218" spans="1:6" x14ac:dyDescent="0.35">
      <c r="A218" s="130">
        <v>42645</v>
      </c>
      <c r="B218" s="24" t="s">
        <v>398</v>
      </c>
      <c r="C218" s="24" t="s">
        <v>245</v>
      </c>
      <c r="D218" s="24" t="s">
        <v>388</v>
      </c>
      <c r="E218" s="24">
        <v>2702</v>
      </c>
      <c r="F218" s="24">
        <v>324706</v>
      </c>
    </row>
    <row r="219" spans="1:6" x14ac:dyDescent="0.35">
      <c r="A219" s="130">
        <v>42646</v>
      </c>
      <c r="B219" s="24" t="s">
        <v>399</v>
      </c>
      <c r="C219" s="24" t="s">
        <v>245</v>
      </c>
      <c r="D219" s="24" t="s">
        <v>388</v>
      </c>
      <c r="E219" s="24">
        <v>3275</v>
      </c>
      <c r="F219" s="24">
        <v>324709</v>
      </c>
    </row>
    <row r="220" spans="1:6" x14ac:dyDescent="0.35">
      <c r="A220" s="130">
        <v>42647</v>
      </c>
      <c r="B220" s="24" t="s">
        <v>400</v>
      </c>
      <c r="C220" s="24" t="s">
        <v>245</v>
      </c>
      <c r="D220" s="24" t="s">
        <v>388</v>
      </c>
      <c r="E220" s="24">
        <v>1714</v>
      </c>
      <c r="F220" s="24">
        <v>324712</v>
      </c>
    </row>
    <row r="221" spans="1:6" x14ac:dyDescent="0.35">
      <c r="A221" s="130">
        <v>42648</v>
      </c>
      <c r="B221" s="24" t="s">
        <v>401</v>
      </c>
      <c r="C221" s="24" t="s">
        <v>248</v>
      </c>
      <c r="D221" s="24" t="s">
        <v>388</v>
      </c>
      <c r="E221" s="24">
        <v>2442</v>
      </c>
      <c r="F221" s="24">
        <v>324716</v>
      </c>
    </row>
    <row r="222" spans="1:6" x14ac:dyDescent="0.35">
      <c r="A222" s="130">
        <v>42649</v>
      </c>
      <c r="B222" s="24" t="s">
        <v>401</v>
      </c>
      <c r="C222" s="24" t="s">
        <v>248</v>
      </c>
      <c r="D222" s="24" t="s">
        <v>388</v>
      </c>
      <c r="E222" s="24">
        <v>3478</v>
      </c>
      <c r="F222" s="24">
        <v>324721</v>
      </c>
    </row>
    <row r="223" spans="1:6" x14ac:dyDescent="0.35">
      <c r="A223" s="130">
        <v>42650</v>
      </c>
      <c r="B223" s="24" t="s">
        <v>402</v>
      </c>
      <c r="C223" s="24" t="s">
        <v>268</v>
      </c>
      <c r="D223" s="24" t="s">
        <v>388</v>
      </c>
      <c r="E223" s="24">
        <v>3516</v>
      </c>
      <c r="F223" s="24">
        <v>324722</v>
      </c>
    </row>
    <row r="224" spans="1:6" x14ac:dyDescent="0.35">
      <c r="A224" s="130">
        <v>42651</v>
      </c>
      <c r="B224" s="24" t="s">
        <v>402</v>
      </c>
      <c r="C224" s="24" t="s">
        <v>268</v>
      </c>
      <c r="D224" s="24" t="s">
        <v>388</v>
      </c>
      <c r="E224" s="24">
        <v>3845</v>
      </c>
      <c r="F224" s="24">
        <v>324724</v>
      </c>
    </row>
    <row r="225" spans="1:6" x14ac:dyDescent="0.35">
      <c r="A225" s="130">
        <v>42652</v>
      </c>
      <c r="B225" s="24" t="s">
        <v>403</v>
      </c>
      <c r="C225" s="24" t="s">
        <v>248</v>
      </c>
      <c r="D225" s="24" t="s">
        <v>388</v>
      </c>
      <c r="E225" s="24">
        <v>1938</v>
      </c>
      <c r="F225" s="24">
        <v>324726</v>
      </c>
    </row>
    <row r="226" spans="1:6" x14ac:dyDescent="0.35">
      <c r="A226" s="130">
        <v>42653</v>
      </c>
      <c r="B226" s="24" t="s">
        <v>404</v>
      </c>
      <c r="C226" s="24" t="s">
        <v>245</v>
      </c>
      <c r="D226" s="24" t="s">
        <v>388</v>
      </c>
      <c r="E226" s="24">
        <v>2877</v>
      </c>
      <c r="F226" s="24">
        <v>324727</v>
      </c>
    </row>
    <row r="227" spans="1:6" x14ac:dyDescent="0.35">
      <c r="A227" s="130">
        <v>42654</v>
      </c>
      <c r="B227" s="24" t="s">
        <v>405</v>
      </c>
      <c r="C227" s="24" t="s">
        <v>245</v>
      </c>
      <c r="D227" s="24" t="s">
        <v>388</v>
      </c>
      <c r="E227" s="24">
        <v>3190</v>
      </c>
      <c r="F227" s="24">
        <v>324729</v>
      </c>
    </row>
    <row r="228" spans="1:6" x14ac:dyDescent="0.35">
      <c r="A228" s="130">
        <v>42655</v>
      </c>
      <c r="B228" s="24" t="s">
        <v>406</v>
      </c>
      <c r="C228" s="24" t="s">
        <v>245</v>
      </c>
      <c r="D228" s="24" t="s">
        <v>388</v>
      </c>
      <c r="E228" s="24">
        <v>1319</v>
      </c>
      <c r="F228" s="24">
        <v>324733</v>
      </c>
    </row>
    <row r="229" spans="1:6" x14ac:dyDescent="0.35">
      <c r="A229" s="130">
        <v>42656</v>
      </c>
      <c r="B229" s="24" t="s">
        <v>406</v>
      </c>
      <c r="C229" s="24" t="s">
        <v>245</v>
      </c>
      <c r="D229" s="24" t="s">
        <v>388</v>
      </c>
      <c r="E229" s="24">
        <v>1013</v>
      </c>
      <c r="F229" s="24">
        <v>324739</v>
      </c>
    </row>
    <row r="230" spans="1:6" x14ac:dyDescent="0.35">
      <c r="A230" s="130">
        <v>42657</v>
      </c>
      <c r="B230" s="24" t="s">
        <v>407</v>
      </c>
      <c r="C230" s="24" t="s">
        <v>245</v>
      </c>
      <c r="D230" s="24" t="s">
        <v>388</v>
      </c>
      <c r="E230" s="24">
        <v>4122</v>
      </c>
      <c r="F230" s="24">
        <v>324742</v>
      </c>
    </row>
    <row r="231" spans="1:6" x14ac:dyDescent="0.35">
      <c r="A231" s="130">
        <v>42658</v>
      </c>
      <c r="B231" s="24" t="s">
        <v>408</v>
      </c>
      <c r="C231" s="24" t="s">
        <v>245</v>
      </c>
      <c r="D231" s="24" t="s">
        <v>388</v>
      </c>
      <c r="E231" s="24">
        <v>3268</v>
      </c>
      <c r="F231" s="24">
        <v>324754</v>
      </c>
    </row>
    <row r="232" spans="1:6" x14ac:dyDescent="0.35">
      <c r="A232" s="130">
        <v>42659</v>
      </c>
      <c r="B232" s="24" t="s">
        <v>409</v>
      </c>
      <c r="C232" s="24" t="s">
        <v>245</v>
      </c>
      <c r="D232" s="24" t="s">
        <v>410</v>
      </c>
      <c r="E232" s="24">
        <v>2723</v>
      </c>
      <c r="F232" s="24">
        <v>324757</v>
      </c>
    </row>
    <row r="233" spans="1:6" x14ac:dyDescent="0.35">
      <c r="A233" s="130">
        <v>42660</v>
      </c>
      <c r="B233" s="24" t="s">
        <v>409</v>
      </c>
      <c r="C233" s="24" t="s">
        <v>245</v>
      </c>
      <c r="D233" s="24" t="s">
        <v>410</v>
      </c>
      <c r="E233" s="24">
        <v>4788</v>
      </c>
      <c r="F233" s="24">
        <v>324763</v>
      </c>
    </row>
    <row r="234" spans="1:6" x14ac:dyDescent="0.35">
      <c r="A234" s="130">
        <v>42661</v>
      </c>
      <c r="B234" s="24" t="s">
        <v>411</v>
      </c>
      <c r="C234" s="24" t="s">
        <v>245</v>
      </c>
      <c r="D234" s="24" t="s">
        <v>410</v>
      </c>
      <c r="E234" s="24">
        <v>4587</v>
      </c>
      <c r="F234" s="24">
        <v>324764</v>
      </c>
    </row>
    <row r="235" spans="1:6" x14ac:dyDescent="0.35">
      <c r="A235" s="130">
        <v>42662</v>
      </c>
      <c r="B235" s="24" t="s">
        <v>412</v>
      </c>
      <c r="C235" s="24" t="s">
        <v>268</v>
      </c>
      <c r="D235" s="24" t="s">
        <v>410</v>
      </c>
      <c r="E235" s="24">
        <v>4048</v>
      </c>
      <c r="F235" s="24">
        <v>324767</v>
      </c>
    </row>
    <row r="236" spans="1:6" x14ac:dyDescent="0.35">
      <c r="A236" s="130">
        <v>42663</v>
      </c>
      <c r="B236" s="24" t="s">
        <v>413</v>
      </c>
      <c r="C236" s="24" t="s">
        <v>245</v>
      </c>
      <c r="D236" s="24" t="s">
        <v>410</v>
      </c>
      <c r="E236" s="24">
        <v>2017</v>
      </c>
      <c r="F236" s="24">
        <v>324773</v>
      </c>
    </row>
    <row r="237" spans="1:6" x14ac:dyDescent="0.35">
      <c r="A237" s="130">
        <v>42664</v>
      </c>
      <c r="B237" s="24" t="s">
        <v>414</v>
      </c>
      <c r="C237" s="24" t="s">
        <v>245</v>
      </c>
      <c r="D237" s="24" t="s">
        <v>410</v>
      </c>
      <c r="E237" s="24">
        <v>3814</v>
      </c>
      <c r="F237" s="24">
        <v>324775</v>
      </c>
    </row>
    <row r="238" spans="1:6" x14ac:dyDescent="0.35">
      <c r="A238" s="130">
        <v>42665</v>
      </c>
      <c r="B238" s="24" t="s">
        <v>415</v>
      </c>
      <c r="C238" s="24" t="s">
        <v>245</v>
      </c>
      <c r="D238" s="24" t="s">
        <v>410</v>
      </c>
      <c r="E238" s="24">
        <v>3222</v>
      </c>
      <c r="F238" s="24">
        <v>324779</v>
      </c>
    </row>
    <row r="239" spans="1:6" x14ac:dyDescent="0.35">
      <c r="A239" s="130">
        <v>42666</v>
      </c>
      <c r="B239" s="24" t="s">
        <v>416</v>
      </c>
      <c r="C239" s="24" t="s">
        <v>245</v>
      </c>
      <c r="D239" s="24" t="s">
        <v>410</v>
      </c>
      <c r="E239" s="24">
        <v>1392</v>
      </c>
      <c r="F239" s="24">
        <v>324780</v>
      </c>
    </row>
    <row r="240" spans="1:6" x14ac:dyDescent="0.35">
      <c r="A240" s="130">
        <v>42667</v>
      </c>
      <c r="B240" s="24" t="s">
        <v>416</v>
      </c>
      <c r="C240" s="24" t="s">
        <v>245</v>
      </c>
      <c r="D240" s="24" t="s">
        <v>410</v>
      </c>
      <c r="E240" s="24">
        <v>3384</v>
      </c>
      <c r="F240" s="24">
        <v>324783</v>
      </c>
    </row>
    <row r="241" spans="1:6" x14ac:dyDescent="0.35">
      <c r="A241" s="130">
        <v>42668</v>
      </c>
      <c r="B241" s="24" t="s">
        <v>417</v>
      </c>
      <c r="C241" s="24" t="s">
        <v>245</v>
      </c>
      <c r="D241" s="24" t="s">
        <v>410</v>
      </c>
      <c r="E241" s="24">
        <v>1071</v>
      </c>
      <c r="F241" s="24">
        <v>324784</v>
      </c>
    </row>
    <row r="242" spans="1:6" x14ac:dyDescent="0.35">
      <c r="A242" s="130">
        <v>42669</v>
      </c>
      <c r="B242" s="24" t="s">
        <v>418</v>
      </c>
      <c r="C242" s="24" t="s">
        <v>245</v>
      </c>
      <c r="D242" s="24" t="s">
        <v>410</v>
      </c>
      <c r="E242" s="24">
        <v>4538</v>
      </c>
      <c r="F242" s="24">
        <v>324787</v>
      </c>
    </row>
    <row r="243" spans="1:6" x14ac:dyDescent="0.35">
      <c r="A243" s="130">
        <v>42670</v>
      </c>
      <c r="B243" s="24" t="s">
        <v>419</v>
      </c>
      <c r="C243" s="24" t="s">
        <v>245</v>
      </c>
      <c r="D243" s="24" t="s">
        <v>410</v>
      </c>
      <c r="E243" s="24">
        <v>1792</v>
      </c>
      <c r="F243" s="24">
        <v>324795</v>
      </c>
    </row>
    <row r="244" spans="1:6" x14ac:dyDescent="0.35">
      <c r="A244" s="130">
        <v>42671</v>
      </c>
      <c r="B244" s="24" t="s">
        <v>420</v>
      </c>
      <c r="C244" s="24" t="s">
        <v>245</v>
      </c>
      <c r="D244" s="24" t="s">
        <v>410</v>
      </c>
      <c r="E244" s="24">
        <v>3203</v>
      </c>
      <c r="F244" s="24">
        <v>324796</v>
      </c>
    </row>
    <row r="245" spans="1:6" x14ac:dyDescent="0.35">
      <c r="A245" s="130">
        <v>42672</v>
      </c>
      <c r="B245" s="24" t="s">
        <v>421</v>
      </c>
      <c r="C245" s="24" t="s">
        <v>245</v>
      </c>
      <c r="D245" s="24" t="s">
        <v>410</v>
      </c>
      <c r="E245" s="24">
        <v>3927</v>
      </c>
      <c r="F245" s="24">
        <v>324797</v>
      </c>
    </row>
    <row r="246" spans="1:6" x14ac:dyDescent="0.35">
      <c r="A246" s="130">
        <v>42673</v>
      </c>
      <c r="B246" s="24" t="s">
        <v>422</v>
      </c>
      <c r="C246" s="24" t="s">
        <v>245</v>
      </c>
      <c r="D246" s="24" t="s">
        <v>410</v>
      </c>
      <c r="E246" s="24">
        <v>3824</v>
      </c>
      <c r="F246" s="24">
        <v>324798</v>
      </c>
    </row>
    <row r="247" spans="1:6" x14ac:dyDescent="0.35">
      <c r="A247" s="130">
        <v>42674</v>
      </c>
      <c r="B247" s="24" t="s">
        <v>423</v>
      </c>
      <c r="C247" s="24" t="s">
        <v>245</v>
      </c>
      <c r="D247" s="24" t="s">
        <v>410</v>
      </c>
      <c r="E247" s="24">
        <v>2331</v>
      </c>
      <c r="F247" s="24">
        <v>324800</v>
      </c>
    </row>
    <row r="248" spans="1:6" x14ac:dyDescent="0.35">
      <c r="A248" s="130">
        <v>42675</v>
      </c>
      <c r="B248" s="24" t="s">
        <v>423</v>
      </c>
      <c r="C248" s="24" t="s">
        <v>268</v>
      </c>
      <c r="D248" s="24" t="s">
        <v>410</v>
      </c>
      <c r="E248" s="24">
        <v>2763</v>
      </c>
      <c r="F248" s="24">
        <v>324801</v>
      </c>
    </row>
    <row r="249" spans="1:6" x14ac:dyDescent="0.35">
      <c r="A249" s="130">
        <v>42676</v>
      </c>
      <c r="B249" s="24" t="s">
        <v>424</v>
      </c>
      <c r="C249" s="24" t="s">
        <v>245</v>
      </c>
      <c r="D249" s="24" t="s">
        <v>410</v>
      </c>
      <c r="E249" s="24">
        <v>2986</v>
      </c>
      <c r="F249" s="24">
        <v>324812</v>
      </c>
    </row>
    <row r="250" spans="1:6" x14ac:dyDescent="0.35">
      <c r="A250" s="130">
        <v>42677</v>
      </c>
      <c r="B250" s="24" t="s">
        <v>425</v>
      </c>
      <c r="C250" s="24" t="s">
        <v>245</v>
      </c>
      <c r="D250" s="24" t="s">
        <v>410</v>
      </c>
      <c r="E250" s="24">
        <v>4337</v>
      </c>
      <c r="F250" s="24">
        <v>324814</v>
      </c>
    </row>
    <row r="251" spans="1:6" x14ac:dyDescent="0.35">
      <c r="A251" s="130">
        <v>42678</v>
      </c>
      <c r="B251" s="24" t="s">
        <v>425</v>
      </c>
      <c r="C251" s="24" t="s">
        <v>245</v>
      </c>
      <c r="D251" s="24" t="s">
        <v>410</v>
      </c>
      <c r="E251" s="24">
        <v>1386</v>
      </c>
      <c r="F251" s="24">
        <v>324817</v>
      </c>
    </row>
    <row r="252" spans="1:6" x14ac:dyDescent="0.35">
      <c r="A252" s="130">
        <v>42679</v>
      </c>
      <c r="B252" s="24" t="s">
        <v>426</v>
      </c>
      <c r="C252" s="24" t="s">
        <v>245</v>
      </c>
      <c r="D252" s="24" t="s">
        <v>410</v>
      </c>
      <c r="E252" s="24">
        <v>2352</v>
      </c>
      <c r="F252" s="24">
        <v>324819</v>
      </c>
    </row>
    <row r="253" spans="1:6" x14ac:dyDescent="0.35">
      <c r="A253" s="130">
        <v>42680</v>
      </c>
      <c r="B253" s="24" t="s">
        <v>427</v>
      </c>
      <c r="C253" s="24" t="s">
        <v>245</v>
      </c>
      <c r="D253" s="24" t="s">
        <v>410</v>
      </c>
      <c r="E253" s="24">
        <v>3377</v>
      </c>
      <c r="F253" s="24">
        <v>324820</v>
      </c>
    </row>
    <row r="254" spans="1:6" x14ac:dyDescent="0.35">
      <c r="A254" s="130">
        <v>42681</v>
      </c>
      <c r="B254" s="24" t="s">
        <v>428</v>
      </c>
      <c r="C254" s="24" t="s">
        <v>245</v>
      </c>
      <c r="D254" s="24" t="s">
        <v>410</v>
      </c>
      <c r="E254" s="24">
        <v>1313</v>
      </c>
      <c r="F254" s="24">
        <v>324822</v>
      </c>
    </row>
    <row r="255" spans="1:6" x14ac:dyDescent="0.35">
      <c r="A255" s="130">
        <v>42682</v>
      </c>
      <c r="B255" s="24" t="s">
        <v>429</v>
      </c>
      <c r="C255" s="24" t="s">
        <v>245</v>
      </c>
      <c r="D255" s="24" t="s">
        <v>410</v>
      </c>
      <c r="E255" s="24">
        <v>1331</v>
      </c>
      <c r="F255" s="24">
        <v>324823</v>
      </c>
    </row>
    <row r="256" spans="1:6" x14ac:dyDescent="0.35">
      <c r="A256" s="130">
        <v>42683</v>
      </c>
      <c r="B256" s="24" t="s">
        <v>430</v>
      </c>
      <c r="C256" s="24" t="s">
        <v>245</v>
      </c>
      <c r="D256" s="24" t="s">
        <v>410</v>
      </c>
      <c r="E256" s="24">
        <v>1655</v>
      </c>
      <c r="F256" s="24">
        <v>324827</v>
      </c>
    </row>
    <row r="257" spans="1:6" x14ac:dyDescent="0.35">
      <c r="A257" s="130">
        <v>42684</v>
      </c>
      <c r="B257" s="24" t="s">
        <v>430</v>
      </c>
      <c r="C257" s="24" t="s">
        <v>245</v>
      </c>
      <c r="D257" s="24" t="s">
        <v>410</v>
      </c>
      <c r="E257" s="24">
        <v>4680</v>
      </c>
      <c r="F257" s="24">
        <v>324831</v>
      </c>
    </row>
    <row r="258" spans="1:6" x14ac:dyDescent="0.35">
      <c r="A258" s="130">
        <v>42685</v>
      </c>
      <c r="B258" s="24" t="s">
        <v>431</v>
      </c>
      <c r="C258" s="24" t="s">
        <v>245</v>
      </c>
      <c r="D258" s="24" t="s">
        <v>410</v>
      </c>
      <c r="E258" s="24">
        <v>4268</v>
      </c>
      <c r="F258" s="24">
        <v>324834</v>
      </c>
    </row>
    <row r="259" spans="1:6" x14ac:dyDescent="0.35">
      <c r="A259" s="130">
        <v>42686</v>
      </c>
      <c r="B259" s="24" t="s">
        <v>431</v>
      </c>
      <c r="C259" s="24" t="s">
        <v>245</v>
      </c>
      <c r="D259" s="24" t="s">
        <v>410</v>
      </c>
      <c r="E259" s="24">
        <v>3058</v>
      </c>
      <c r="F259" s="24">
        <v>324835</v>
      </c>
    </row>
    <row r="260" spans="1:6" x14ac:dyDescent="0.35">
      <c r="A260" s="130">
        <v>42687</v>
      </c>
      <c r="B260" s="24" t="s">
        <v>432</v>
      </c>
      <c r="C260" s="24" t="s">
        <v>245</v>
      </c>
      <c r="D260" s="24" t="s">
        <v>410</v>
      </c>
      <c r="E260" s="24">
        <v>4156</v>
      </c>
      <c r="F260" s="24">
        <v>324838</v>
      </c>
    </row>
    <row r="261" spans="1:6" x14ac:dyDescent="0.35">
      <c r="A261" s="130">
        <v>42688</v>
      </c>
      <c r="B261" s="24" t="s">
        <v>432</v>
      </c>
      <c r="C261" s="24" t="s">
        <v>245</v>
      </c>
      <c r="D261" s="24" t="s">
        <v>410</v>
      </c>
      <c r="E261" s="24">
        <v>1493</v>
      </c>
      <c r="F261" s="24">
        <v>324839</v>
      </c>
    </row>
    <row r="262" spans="1:6" x14ac:dyDescent="0.35">
      <c r="A262" s="130">
        <v>42689</v>
      </c>
      <c r="B262" s="24" t="s">
        <v>433</v>
      </c>
      <c r="C262" s="24" t="s">
        <v>245</v>
      </c>
      <c r="D262" s="24" t="s">
        <v>410</v>
      </c>
      <c r="E262" s="24">
        <v>1875</v>
      </c>
      <c r="F262" s="24">
        <v>324840</v>
      </c>
    </row>
    <row r="263" spans="1:6" x14ac:dyDescent="0.35">
      <c r="A263" s="130">
        <v>42690</v>
      </c>
      <c r="B263" s="24" t="s">
        <v>434</v>
      </c>
      <c r="C263" s="24" t="s">
        <v>245</v>
      </c>
      <c r="D263" s="24" t="s">
        <v>410</v>
      </c>
      <c r="E263" s="24">
        <v>1466</v>
      </c>
      <c r="F263" s="24">
        <v>324842</v>
      </c>
    </row>
    <row r="264" spans="1:6" x14ac:dyDescent="0.35">
      <c r="A264" s="130">
        <v>42691</v>
      </c>
      <c r="B264" s="24" t="s">
        <v>435</v>
      </c>
      <c r="C264" s="24" t="s">
        <v>245</v>
      </c>
      <c r="D264" s="24" t="s">
        <v>410</v>
      </c>
      <c r="E264" s="24">
        <v>2474</v>
      </c>
      <c r="F264" s="24">
        <v>324843</v>
      </c>
    </row>
    <row r="265" spans="1:6" x14ac:dyDescent="0.35">
      <c r="A265" s="130">
        <v>42692</v>
      </c>
      <c r="B265" s="24" t="s">
        <v>436</v>
      </c>
      <c r="C265" s="24" t="s">
        <v>245</v>
      </c>
      <c r="D265" s="24" t="s">
        <v>410</v>
      </c>
      <c r="E265" s="24">
        <v>3184</v>
      </c>
      <c r="F265" s="24">
        <v>324844</v>
      </c>
    </row>
    <row r="266" spans="1:6" x14ac:dyDescent="0.35">
      <c r="A266" s="130">
        <v>42693</v>
      </c>
      <c r="B266" s="24" t="s">
        <v>436</v>
      </c>
      <c r="C266" s="24" t="s">
        <v>248</v>
      </c>
      <c r="D266" s="24" t="s">
        <v>410</v>
      </c>
      <c r="E266" s="24">
        <v>1161</v>
      </c>
      <c r="F266" s="24">
        <v>324848</v>
      </c>
    </row>
    <row r="267" spans="1:6" x14ac:dyDescent="0.35">
      <c r="A267" s="130">
        <v>42694</v>
      </c>
      <c r="B267" s="24" t="s">
        <v>437</v>
      </c>
      <c r="C267" s="24" t="s">
        <v>245</v>
      </c>
      <c r="D267" s="24" t="s">
        <v>410</v>
      </c>
      <c r="E267" s="24">
        <v>2967</v>
      </c>
      <c r="F267" s="24">
        <v>324849</v>
      </c>
    </row>
    <row r="268" spans="1:6" x14ac:dyDescent="0.35">
      <c r="A268" s="130">
        <v>42695</v>
      </c>
      <c r="B268" s="24" t="s">
        <v>438</v>
      </c>
      <c r="C268" s="24" t="s">
        <v>245</v>
      </c>
      <c r="D268" s="24" t="s">
        <v>410</v>
      </c>
      <c r="E268" s="24">
        <v>3248</v>
      </c>
      <c r="F268" s="24">
        <v>324852</v>
      </c>
    </row>
    <row r="269" spans="1:6" x14ac:dyDescent="0.35">
      <c r="A269" s="130">
        <v>42696</v>
      </c>
      <c r="B269" s="24" t="s">
        <v>438</v>
      </c>
      <c r="C269" s="24" t="s">
        <v>245</v>
      </c>
      <c r="D269" s="24" t="s">
        <v>410</v>
      </c>
      <c r="E269" s="24">
        <v>2657</v>
      </c>
      <c r="F269" s="24">
        <v>324856</v>
      </c>
    </row>
    <row r="270" spans="1:6" x14ac:dyDescent="0.35">
      <c r="A270" s="130">
        <v>42697</v>
      </c>
      <c r="B270" s="24" t="s">
        <v>439</v>
      </c>
      <c r="C270" s="24" t="s">
        <v>245</v>
      </c>
      <c r="D270" s="24" t="s">
        <v>410</v>
      </c>
      <c r="E270" s="24">
        <v>1065</v>
      </c>
      <c r="F270" s="24">
        <v>324859</v>
      </c>
    </row>
    <row r="271" spans="1:6" x14ac:dyDescent="0.35">
      <c r="A271" s="130">
        <v>42698</v>
      </c>
      <c r="B271" s="24" t="s">
        <v>439</v>
      </c>
      <c r="C271" s="24" t="s">
        <v>245</v>
      </c>
      <c r="D271" s="24" t="s">
        <v>410</v>
      </c>
      <c r="E271" s="24">
        <v>2081</v>
      </c>
      <c r="F271" s="24">
        <v>324860</v>
      </c>
    </row>
    <row r="272" spans="1:6" x14ac:dyDescent="0.35">
      <c r="A272" s="130">
        <v>42699</v>
      </c>
      <c r="B272" s="24" t="s">
        <v>440</v>
      </c>
      <c r="C272" s="24" t="s">
        <v>245</v>
      </c>
      <c r="D272" s="24" t="s">
        <v>410</v>
      </c>
      <c r="E272" s="24">
        <v>3771</v>
      </c>
      <c r="F272" s="24">
        <v>324861</v>
      </c>
    </row>
    <row r="273" spans="1:6" x14ac:dyDescent="0.35">
      <c r="A273" s="130">
        <v>42700</v>
      </c>
      <c r="B273" s="24" t="s">
        <v>441</v>
      </c>
      <c r="C273" s="24" t="s">
        <v>245</v>
      </c>
      <c r="D273" s="24" t="s">
        <v>442</v>
      </c>
      <c r="E273" s="24">
        <v>1386</v>
      </c>
      <c r="F273" s="24">
        <v>324862</v>
      </c>
    </row>
    <row r="274" spans="1:6" x14ac:dyDescent="0.35">
      <c r="A274" s="130">
        <v>42701</v>
      </c>
      <c r="B274" s="24" t="s">
        <v>443</v>
      </c>
      <c r="C274" s="24" t="s">
        <v>245</v>
      </c>
      <c r="D274" s="24" t="s">
        <v>442</v>
      </c>
      <c r="E274" s="24">
        <v>3187</v>
      </c>
      <c r="F274" s="24">
        <v>324864</v>
      </c>
    </row>
    <row r="275" spans="1:6" x14ac:dyDescent="0.35">
      <c r="A275" s="130">
        <v>42702</v>
      </c>
      <c r="B275" s="24" t="s">
        <v>444</v>
      </c>
      <c r="C275" s="24" t="s">
        <v>268</v>
      </c>
      <c r="D275" s="24" t="s">
        <v>442</v>
      </c>
      <c r="E275" s="24">
        <v>4534</v>
      </c>
      <c r="F275" s="24">
        <v>324865</v>
      </c>
    </row>
    <row r="276" spans="1:6" x14ac:dyDescent="0.35">
      <c r="A276" s="130">
        <v>42703</v>
      </c>
      <c r="B276" s="24" t="s">
        <v>445</v>
      </c>
      <c r="C276" s="24" t="s">
        <v>248</v>
      </c>
      <c r="D276" s="24" t="s">
        <v>442</v>
      </c>
      <c r="E276" s="24">
        <v>3026</v>
      </c>
      <c r="F276" s="24">
        <v>324867</v>
      </c>
    </row>
    <row r="277" spans="1:6" x14ac:dyDescent="0.35">
      <c r="A277" s="130">
        <v>42704</v>
      </c>
      <c r="B277" s="24" t="s">
        <v>445</v>
      </c>
      <c r="C277" s="24" t="s">
        <v>248</v>
      </c>
      <c r="D277" s="24" t="s">
        <v>442</v>
      </c>
      <c r="E277" s="24">
        <v>4941</v>
      </c>
      <c r="F277" s="24">
        <v>324868</v>
      </c>
    </row>
    <row r="278" spans="1:6" x14ac:dyDescent="0.35">
      <c r="A278" s="130">
        <v>42705</v>
      </c>
      <c r="B278" s="24" t="s">
        <v>359</v>
      </c>
      <c r="C278" s="24" t="s">
        <v>268</v>
      </c>
      <c r="D278" s="24" t="s">
        <v>442</v>
      </c>
      <c r="E278" s="24">
        <v>1182</v>
      </c>
      <c r="F278" s="24">
        <v>324871</v>
      </c>
    </row>
    <row r="279" spans="1:6" x14ac:dyDescent="0.35">
      <c r="A279" s="130">
        <v>42706</v>
      </c>
      <c r="B279" s="24" t="s">
        <v>446</v>
      </c>
      <c r="C279" s="24" t="s">
        <v>245</v>
      </c>
      <c r="D279" s="24" t="s">
        <v>442</v>
      </c>
      <c r="E279" s="24">
        <v>4181</v>
      </c>
      <c r="F279" s="24">
        <v>324874</v>
      </c>
    </row>
    <row r="280" spans="1:6" x14ac:dyDescent="0.35">
      <c r="A280" s="130">
        <v>42707</v>
      </c>
      <c r="B280" s="24" t="s">
        <v>447</v>
      </c>
      <c r="C280" s="24" t="s">
        <v>268</v>
      </c>
      <c r="D280" s="24" t="s">
        <v>442</v>
      </c>
      <c r="E280" s="24">
        <v>4462</v>
      </c>
      <c r="F280" s="24">
        <v>324880</v>
      </c>
    </row>
    <row r="281" spans="1:6" x14ac:dyDescent="0.35">
      <c r="A281" s="130">
        <v>42708</v>
      </c>
      <c r="B281" s="24" t="s">
        <v>448</v>
      </c>
      <c r="C281" s="24" t="s">
        <v>245</v>
      </c>
      <c r="D281" s="24" t="s">
        <v>442</v>
      </c>
      <c r="E281" s="24">
        <v>1807</v>
      </c>
      <c r="F281" s="24">
        <v>324881</v>
      </c>
    </row>
    <row r="282" spans="1:6" x14ac:dyDescent="0.35">
      <c r="A282" s="130">
        <v>42709</v>
      </c>
      <c r="B282" s="24" t="s">
        <v>448</v>
      </c>
      <c r="C282" s="24" t="s">
        <v>245</v>
      </c>
      <c r="D282" s="24" t="s">
        <v>442</v>
      </c>
      <c r="E282" s="24">
        <v>1388</v>
      </c>
      <c r="F282" s="24">
        <v>324884</v>
      </c>
    </row>
    <row r="283" spans="1:6" x14ac:dyDescent="0.35">
      <c r="A283" s="130">
        <v>42710</v>
      </c>
      <c r="B283" s="24" t="s">
        <v>449</v>
      </c>
      <c r="C283" s="24" t="s">
        <v>245</v>
      </c>
      <c r="D283" s="24" t="s">
        <v>442</v>
      </c>
      <c r="E283" s="24">
        <v>3404</v>
      </c>
      <c r="F283" s="24">
        <v>324887</v>
      </c>
    </row>
    <row r="284" spans="1:6" x14ac:dyDescent="0.35">
      <c r="A284" s="130">
        <v>42711</v>
      </c>
      <c r="B284" s="24" t="s">
        <v>450</v>
      </c>
      <c r="C284" s="24" t="s">
        <v>245</v>
      </c>
      <c r="D284" s="24" t="s">
        <v>442</v>
      </c>
      <c r="E284" s="24">
        <v>2319</v>
      </c>
      <c r="F284" s="24">
        <v>324888</v>
      </c>
    </row>
    <row r="285" spans="1:6" x14ac:dyDescent="0.35">
      <c r="A285" s="130">
        <v>42712</v>
      </c>
      <c r="B285" s="24" t="s">
        <v>451</v>
      </c>
      <c r="C285" s="24" t="s">
        <v>245</v>
      </c>
      <c r="D285" s="24" t="s">
        <v>442</v>
      </c>
      <c r="E285" s="24">
        <v>4368</v>
      </c>
      <c r="F285" s="24">
        <v>324894</v>
      </c>
    </row>
    <row r="286" spans="1:6" x14ac:dyDescent="0.35">
      <c r="A286" s="130">
        <v>42713</v>
      </c>
      <c r="B286" s="24" t="s">
        <v>451</v>
      </c>
      <c r="C286" s="24" t="s">
        <v>245</v>
      </c>
      <c r="D286" s="24" t="s">
        <v>442</v>
      </c>
      <c r="E286" s="24">
        <v>2080</v>
      </c>
      <c r="F286" s="24">
        <v>324895</v>
      </c>
    </row>
    <row r="287" spans="1:6" x14ac:dyDescent="0.35">
      <c r="A287" s="130">
        <v>42714</v>
      </c>
      <c r="B287" s="24" t="s">
        <v>452</v>
      </c>
      <c r="C287" s="24" t="s">
        <v>268</v>
      </c>
      <c r="D287" s="24" t="s">
        <v>442</v>
      </c>
      <c r="E287" s="24">
        <v>2340</v>
      </c>
      <c r="F287" s="24">
        <v>324897</v>
      </c>
    </row>
    <row r="288" spans="1:6" x14ac:dyDescent="0.35">
      <c r="A288" s="130">
        <v>42715</v>
      </c>
      <c r="B288" s="24" t="s">
        <v>453</v>
      </c>
      <c r="C288" s="24" t="s">
        <v>245</v>
      </c>
      <c r="D288" s="24" t="s">
        <v>442</v>
      </c>
      <c r="E288" s="24">
        <v>4351</v>
      </c>
      <c r="F288" s="24">
        <v>324900</v>
      </c>
    </row>
    <row r="289" spans="1:6" x14ac:dyDescent="0.35">
      <c r="A289" s="130">
        <v>42716</v>
      </c>
      <c r="B289" s="24" t="s">
        <v>454</v>
      </c>
      <c r="C289" s="24" t="s">
        <v>245</v>
      </c>
      <c r="D289" s="24" t="s">
        <v>442</v>
      </c>
      <c r="E289" s="24">
        <v>2316</v>
      </c>
      <c r="F289" s="24">
        <v>324901</v>
      </c>
    </row>
    <row r="290" spans="1:6" x14ac:dyDescent="0.35">
      <c r="A290" s="130">
        <v>42717</v>
      </c>
      <c r="B290" s="24" t="s">
        <v>455</v>
      </c>
      <c r="C290" s="24" t="s">
        <v>268</v>
      </c>
      <c r="D290" s="24" t="s">
        <v>442</v>
      </c>
      <c r="E290" s="24">
        <v>2218</v>
      </c>
      <c r="F290" s="24">
        <v>324902</v>
      </c>
    </row>
    <row r="291" spans="1:6" x14ac:dyDescent="0.35">
      <c r="A291" s="130">
        <v>42718</v>
      </c>
      <c r="B291" s="24" t="s">
        <v>456</v>
      </c>
      <c r="C291" s="24" t="s">
        <v>268</v>
      </c>
      <c r="D291" s="24" t="s">
        <v>442</v>
      </c>
      <c r="E291" s="24">
        <v>4192</v>
      </c>
      <c r="F291" s="24">
        <v>324904</v>
      </c>
    </row>
    <row r="292" spans="1:6" x14ac:dyDescent="0.35">
      <c r="A292" s="130">
        <v>42719</v>
      </c>
      <c r="B292" s="24" t="s">
        <v>457</v>
      </c>
      <c r="C292" s="24" t="s">
        <v>268</v>
      </c>
      <c r="D292" s="24" t="s">
        <v>442</v>
      </c>
      <c r="E292" s="24">
        <v>3528</v>
      </c>
      <c r="F292" s="24">
        <v>324905</v>
      </c>
    </row>
    <row r="293" spans="1:6" x14ac:dyDescent="0.35">
      <c r="A293" s="130">
        <v>42720</v>
      </c>
      <c r="B293" s="24" t="s">
        <v>458</v>
      </c>
      <c r="C293" s="24" t="s">
        <v>245</v>
      </c>
      <c r="D293" s="24" t="s">
        <v>442</v>
      </c>
      <c r="E293" s="24">
        <v>4433</v>
      </c>
      <c r="F293" s="24">
        <v>324906</v>
      </c>
    </row>
    <row r="294" spans="1:6" x14ac:dyDescent="0.35">
      <c r="A294" s="130">
        <v>42721</v>
      </c>
      <c r="B294" s="24" t="s">
        <v>459</v>
      </c>
      <c r="C294" s="24" t="s">
        <v>248</v>
      </c>
      <c r="D294" s="24" t="s">
        <v>442</v>
      </c>
      <c r="E294" s="24">
        <v>3273</v>
      </c>
      <c r="F294" s="24">
        <v>324907</v>
      </c>
    </row>
    <row r="295" spans="1:6" x14ac:dyDescent="0.35">
      <c r="A295" s="130">
        <v>42722</v>
      </c>
      <c r="B295" s="24" t="s">
        <v>459</v>
      </c>
      <c r="C295" s="24" t="s">
        <v>248</v>
      </c>
      <c r="D295" s="24" t="s">
        <v>442</v>
      </c>
      <c r="E295" s="24">
        <v>2531</v>
      </c>
      <c r="F295" s="24">
        <v>324908</v>
      </c>
    </row>
    <row r="296" spans="1:6" x14ac:dyDescent="0.35">
      <c r="A296" s="130">
        <v>42723</v>
      </c>
      <c r="B296" s="24" t="s">
        <v>460</v>
      </c>
      <c r="C296" s="24" t="s">
        <v>248</v>
      </c>
      <c r="D296" s="24" t="s">
        <v>442</v>
      </c>
      <c r="E296" s="24">
        <v>3415</v>
      </c>
      <c r="F296" s="24">
        <v>324911</v>
      </c>
    </row>
    <row r="297" spans="1:6" x14ac:dyDescent="0.35">
      <c r="A297" s="130">
        <v>42724</v>
      </c>
      <c r="B297" s="24" t="s">
        <v>460</v>
      </c>
      <c r="C297" s="24" t="s">
        <v>248</v>
      </c>
      <c r="D297" s="24" t="s">
        <v>442</v>
      </c>
      <c r="E297" s="24">
        <v>2784</v>
      </c>
      <c r="F297" s="24">
        <v>324913</v>
      </c>
    </row>
    <row r="298" spans="1:6" x14ac:dyDescent="0.35">
      <c r="A298" s="130">
        <v>42725</v>
      </c>
      <c r="B298" s="24" t="s">
        <v>461</v>
      </c>
      <c r="C298" s="24" t="s">
        <v>268</v>
      </c>
      <c r="D298" s="24" t="s">
        <v>442</v>
      </c>
      <c r="E298" s="24">
        <v>1118</v>
      </c>
      <c r="F298" s="24">
        <v>324915</v>
      </c>
    </row>
    <row r="299" spans="1:6" x14ac:dyDescent="0.35">
      <c r="A299" s="130">
        <v>42726</v>
      </c>
      <c r="B299" s="24" t="s">
        <v>462</v>
      </c>
      <c r="C299" s="24" t="s">
        <v>245</v>
      </c>
      <c r="D299" s="24" t="s">
        <v>442</v>
      </c>
      <c r="E299" s="24">
        <v>3273</v>
      </c>
      <c r="F299" s="24">
        <v>324916</v>
      </c>
    </row>
    <row r="300" spans="1:6" x14ac:dyDescent="0.35">
      <c r="A300" s="130">
        <v>42727</v>
      </c>
      <c r="B300" s="24" t="s">
        <v>463</v>
      </c>
      <c r="C300" s="24" t="s">
        <v>245</v>
      </c>
      <c r="D300" s="24" t="s">
        <v>442</v>
      </c>
      <c r="E300" s="24">
        <v>3141</v>
      </c>
      <c r="F300" s="24">
        <v>324919</v>
      </c>
    </row>
    <row r="301" spans="1:6" x14ac:dyDescent="0.35">
      <c r="A301" s="130">
        <v>42728</v>
      </c>
      <c r="B301" s="24" t="s">
        <v>464</v>
      </c>
      <c r="C301" s="24" t="s">
        <v>268</v>
      </c>
      <c r="D301" s="24" t="s">
        <v>442</v>
      </c>
      <c r="E301" s="24">
        <v>2945</v>
      </c>
      <c r="F301" s="24">
        <v>324921</v>
      </c>
    </row>
    <row r="302" spans="1:6" x14ac:dyDescent="0.35">
      <c r="A302" s="130">
        <v>42729</v>
      </c>
      <c r="B302" s="24" t="s">
        <v>465</v>
      </c>
      <c r="C302" s="24" t="s">
        <v>245</v>
      </c>
      <c r="D302" s="24" t="s">
        <v>442</v>
      </c>
      <c r="E302" s="24">
        <v>4236</v>
      </c>
      <c r="F302" s="24">
        <v>324922</v>
      </c>
    </row>
    <row r="303" spans="1:6" x14ac:dyDescent="0.35">
      <c r="A303" s="130">
        <v>42730</v>
      </c>
      <c r="B303" s="24" t="s">
        <v>466</v>
      </c>
      <c r="C303" s="24" t="s">
        <v>245</v>
      </c>
      <c r="D303" s="24" t="s">
        <v>442</v>
      </c>
      <c r="E303" s="24">
        <v>1426</v>
      </c>
      <c r="F303" s="24">
        <v>324923</v>
      </c>
    </row>
    <row r="304" spans="1:6" x14ac:dyDescent="0.35">
      <c r="A304" s="130">
        <v>42731</v>
      </c>
      <c r="B304" s="24" t="s">
        <v>467</v>
      </c>
      <c r="C304" s="24" t="s">
        <v>245</v>
      </c>
      <c r="D304" s="24" t="s">
        <v>442</v>
      </c>
      <c r="E304" s="24">
        <v>4672</v>
      </c>
      <c r="F304" s="24">
        <v>324924</v>
      </c>
    </row>
    <row r="305" spans="1:6" x14ac:dyDescent="0.35">
      <c r="A305" s="130">
        <v>42732</v>
      </c>
      <c r="B305" s="24" t="s">
        <v>468</v>
      </c>
      <c r="C305" s="24" t="s">
        <v>245</v>
      </c>
      <c r="D305" s="24" t="s">
        <v>442</v>
      </c>
      <c r="E305" s="24">
        <v>2690</v>
      </c>
      <c r="F305" s="24">
        <v>324925</v>
      </c>
    </row>
    <row r="306" spans="1:6" x14ac:dyDescent="0.35">
      <c r="A306" s="130">
        <v>42733</v>
      </c>
      <c r="B306" s="24" t="s">
        <v>469</v>
      </c>
      <c r="C306" s="24" t="s">
        <v>268</v>
      </c>
      <c r="D306" s="24" t="s">
        <v>442</v>
      </c>
      <c r="E306" s="24">
        <v>3454</v>
      </c>
      <c r="F306" s="24">
        <v>324926</v>
      </c>
    </row>
    <row r="307" spans="1:6" x14ac:dyDescent="0.35">
      <c r="A307" s="130">
        <v>42734</v>
      </c>
      <c r="B307" s="24" t="s">
        <v>470</v>
      </c>
      <c r="C307" s="24" t="s">
        <v>245</v>
      </c>
      <c r="D307" s="24" t="s">
        <v>442</v>
      </c>
      <c r="E307" s="24">
        <v>4311</v>
      </c>
      <c r="F307" s="24">
        <v>324927</v>
      </c>
    </row>
    <row r="308" spans="1:6" x14ac:dyDescent="0.35">
      <c r="A308" s="130">
        <v>42735</v>
      </c>
      <c r="B308" s="24" t="s">
        <v>471</v>
      </c>
      <c r="C308" s="24" t="s">
        <v>245</v>
      </c>
      <c r="D308" s="24" t="s">
        <v>442</v>
      </c>
      <c r="E308" s="24">
        <v>1291</v>
      </c>
      <c r="F308" s="24">
        <v>324928</v>
      </c>
    </row>
    <row r="309" spans="1:6" x14ac:dyDescent="0.35">
      <c r="A309" s="130">
        <v>42736</v>
      </c>
      <c r="B309" s="24" t="s">
        <v>472</v>
      </c>
      <c r="C309" s="24" t="s">
        <v>245</v>
      </c>
      <c r="D309" s="24" t="s">
        <v>442</v>
      </c>
      <c r="E309" s="24">
        <v>4515</v>
      </c>
      <c r="F309" s="24">
        <v>324930</v>
      </c>
    </row>
    <row r="310" spans="1:6" x14ac:dyDescent="0.35">
      <c r="A310" s="130">
        <v>42737</v>
      </c>
      <c r="B310" s="24" t="s">
        <v>473</v>
      </c>
      <c r="C310" s="24" t="s">
        <v>245</v>
      </c>
      <c r="D310" s="24" t="s">
        <v>442</v>
      </c>
      <c r="E310" s="24">
        <v>1787</v>
      </c>
      <c r="F310" s="24">
        <v>324931</v>
      </c>
    </row>
    <row r="311" spans="1:6" x14ac:dyDescent="0.35">
      <c r="A311" s="130">
        <v>42738</v>
      </c>
      <c r="B311" s="24" t="s">
        <v>474</v>
      </c>
      <c r="C311" s="24" t="s">
        <v>245</v>
      </c>
      <c r="D311" s="24" t="s">
        <v>442</v>
      </c>
      <c r="E311" s="24">
        <v>2292</v>
      </c>
      <c r="F311" s="24">
        <v>324933</v>
      </c>
    </row>
    <row r="312" spans="1:6" x14ac:dyDescent="0.35">
      <c r="A312" s="130">
        <v>42739</v>
      </c>
      <c r="B312" s="24" t="s">
        <v>475</v>
      </c>
      <c r="C312" s="24" t="s">
        <v>245</v>
      </c>
      <c r="D312" s="24" t="s">
        <v>442</v>
      </c>
      <c r="E312" s="24">
        <v>2267</v>
      </c>
      <c r="F312" s="24">
        <v>324934</v>
      </c>
    </row>
    <row r="313" spans="1:6" x14ac:dyDescent="0.35">
      <c r="A313" s="130">
        <v>42740</v>
      </c>
      <c r="B313" s="24" t="s">
        <v>476</v>
      </c>
      <c r="C313" s="24" t="s">
        <v>245</v>
      </c>
      <c r="D313" s="24" t="s">
        <v>442</v>
      </c>
      <c r="E313" s="24">
        <v>2157</v>
      </c>
      <c r="F313" s="24">
        <v>324935</v>
      </c>
    </row>
    <row r="314" spans="1:6" x14ac:dyDescent="0.35">
      <c r="A314" s="130">
        <v>42741</v>
      </c>
      <c r="B314" s="24" t="s">
        <v>477</v>
      </c>
      <c r="C314" s="24" t="s">
        <v>245</v>
      </c>
      <c r="D314" s="24" t="s">
        <v>442</v>
      </c>
      <c r="E314" s="24">
        <v>2273</v>
      </c>
      <c r="F314" s="24">
        <v>324936</v>
      </c>
    </row>
    <row r="315" spans="1:6" x14ac:dyDescent="0.35">
      <c r="A315" s="130">
        <v>42742</v>
      </c>
      <c r="B315" s="24" t="s">
        <v>478</v>
      </c>
      <c r="C315" s="24" t="s">
        <v>245</v>
      </c>
      <c r="D315" s="24" t="s">
        <v>442</v>
      </c>
      <c r="E315" s="24">
        <v>4034</v>
      </c>
      <c r="F315" s="24">
        <v>324937</v>
      </c>
    </row>
    <row r="316" spans="1:6" x14ac:dyDescent="0.35">
      <c r="A316" s="130">
        <v>42743</v>
      </c>
      <c r="B316" s="24" t="s">
        <v>479</v>
      </c>
      <c r="C316" s="24" t="s">
        <v>245</v>
      </c>
      <c r="D316" s="24" t="s">
        <v>442</v>
      </c>
      <c r="E316" s="24">
        <v>3440</v>
      </c>
      <c r="F316" s="24">
        <v>324938</v>
      </c>
    </row>
    <row r="317" spans="1:6" x14ac:dyDescent="0.35">
      <c r="A317" s="130">
        <v>42744</v>
      </c>
      <c r="B317" s="24" t="s">
        <v>480</v>
      </c>
      <c r="C317" s="24" t="s">
        <v>245</v>
      </c>
      <c r="D317" s="24" t="s">
        <v>442</v>
      </c>
      <c r="E317" s="24">
        <v>2814</v>
      </c>
      <c r="F317" s="24">
        <v>324939</v>
      </c>
    </row>
    <row r="318" spans="1:6" x14ac:dyDescent="0.35">
      <c r="A318" s="130">
        <v>42745</v>
      </c>
      <c r="B318" s="24" t="s">
        <v>481</v>
      </c>
      <c r="C318" s="24" t="s">
        <v>245</v>
      </c>
      <c r="D318" s="24" t="s">
        <v>442</v>
      </c>
      <c r="E318" s="24">
        <v>1389</v>
      </c>
      <c r="F318" s="24">
        <v>324940</v>
      </c>
    </row>
    <row r="319" spans="1:6" x14ac:dyDescent="0.35">
      <c r="A319" s="130">
        <v>42746</v>
      </c>
      <c r="B319" s="24" t="s">
        <v>481</v>
      </c>
      <c r="C319" s="24" t="s">
        <v>245</v>
      </c>
      <c r="D319" s="24" t="s">
        <v>442</v>
      </c>
      <c r="E319" s="24">
        <v>1070</v>
      </c>
      <c r="F319" s="24">
        <v>324941</v>
      </c>
    </row>
    <row r="320" spans="1:6" x14ac:dyDescent="0.35">
      <c r="A320" s="130">
        <v>42747</v>
      </c>
      <c r="B320" s="24" t="s">
        <v>482</v>
      </c>
      <c r="C320" s="24" t="s">
        <v>245</v>
      </c>
      <c r="D320" s="24" t="s">
        <v>442</v>
      </c>
      <c r="E320" s="24">
        <v>4571</v>
      </c>
      <c r="F320" s="24">
        <v>308518</v>
      </c>
    </row>
    <row r="321" spans="1:6" x14ac:dyDescent="0.35">
      <c r="A321" s="130">
        <v>42748</v>
      </c>
      <c r="B321" s="24" t="s">
        <v>483</v>
      </c>
      <c r="C321" s="24" t="s">
        <v>245</v>
      </c>
      <c r="D321" s="24" t="s">
        <v>442</v>
      </c>
      <c r="E321" s="24">
        <v>4322</v>
      </c>
      <c r="F321" s="24">
        <v>308530</v>
      </c>
    </row>
    <row r="322" spans="1:6" x14ac:dyDescent="0.35">
      <c r="A322" s="130">
        <v>42749</v>
      </c>
      <c r="B322" s="24" t="s">
        <v>484</v>
      </c>
      <c r="C322" s="24" t="s">
        <v>245</v>
      </c>
      <c r="D322" s="24" t="s">
        <v>442</v>
      </c>
      <c r="E322" s="24">
        <v>4080</v>
      </c>
      <c r="F322" s="24">
        <v>308531</v>
      </c>
    </row>
    <row r="323" spans="1:6" x14ac:dyDescent="0.35">
      <c r="A323" s="130">
        <v>42750</v>
      </c>
      <c r="B323" s="24" t="s">
        <v>485</v>
      </c>
      <c r="C323" s="24" t="s">
        <v>245</v>
      </c>
      <c r="D323" s="24" t="s">
        <v>442</v>
      </c>
      <c r="E323" s="24">
        <v>4264</v>
      </c>
      <c r="F323" s="24">
        <v>308539</v>
      </c>
    </row>
    <row r="324" spans="1:6" x14ac:dyDescent="0.35">
      <c r="A324" s="130">
        <v>42751</v>
      </c>
      <c r="B324" s="24" t="s">
        <v>486</v>
      </c>
      <c r="C324" s="24" t="s">
        <v>245</v>
      </c>
      <c r="D324" s="24" t="s">
        <v>442</v>
      </c>
      <c r="E324" s="24">
        <v>3119</v>
      </c>
      <c r="F324" s="24">
        <v>308540</v>
      </c>
    </row>
    <row r="325" spans="1:6" x14ac:dyDescent="0.35">
      <c r="A325" s="130">
        <v>42752</v>
      </c>
      <c r="B325" s="24" t="s">
        <v>486</v>
      </c>
      <c r="C325" s="24" t="s">
        <v>245</v>
      </c>
      <c r="D325" s="24" t="s">
        <v>442</v>
      </c>
      <c r="E325" s="24">
        <v>1516</v>
      </c>
      <c r="F325" s="24">
        <v>308545</v>
      </c>
    </row>
    <row r="326" spans="1:6" x14ac:dyDescent="0.35">
      <c r="A326" s="130">
        <v>42753</v>
      </c>
      <c r="B326" s="24" t="s">
        <v>487</v>
      </c>
      <c r="C326" s="24" t="s">
        <v>245</v>
      </c>
      <c r="D326" s="24" t="s">
        <v>442</v>
      </c>
      <c r="E326" s="24">
        <v>2553</v>
      </c>
      <c r="F326" s="24">
        <v>308550</v>
      </c>
    </row>
    <row r="327" spans="1:6" x14ac:dyDescent="0.35">
      <c r="A327" s="130">
        <v>42754</v>
      </c>
      <c r="B327" s="24" t="s">
        <v>488</v>
      </c>
      <c r="C327" s="24" t="s">
        <v>245</v>
      </c>
      <c r="D327" s="24" t="s">
        <v>442</v>
      </c>
      <c r="E327" s="24">
        <v>1449</v>
      </c>
      <c r="F327" s="24">
        <v>304511</v>
      </c>
    </row>
    <row r="328" spans="1:6" x14ac:dyDescent="0.35">
      <c r="A328" s="130">
        <v>42755</v>
      </c>
      <c r="B328" s="24" t="s">
        <v>118</v>
      </c>
      <c r="C328" s="24" t="s">
        <v>245</v>
      </c>
      <c r="D328" s="24" t="s">
        <v>442</v>
      </c>
      <c r="E328" s="24">
        <v>2337</v>
      </c>
      <c r="F328" s="24">
        <v>304514</v>
      </c>
    </row>
    <row r="329" spans="1:6" x14ac:dyDescent="0.35">
      <c r="A329" s="130">
        <v>42756</v>
      </c>
      <c r="B329" s="24" t="s">
        <v>489</v>
      </c>
      <c r="C329" s="24" t="s">
        <v>245</v>
      </c>
      <c r="D329" s="24" t="s">
        <v>442</v>
      </c>
      <c r="E329" s="24">
        <v>4099</v>
      </c>
      <c r="F329" s="24">
        <v>304517</v>
      </c>
    </row>
    <row r="330" spans="1:6" x14ac:dyDescent="0.35">
      <c r="A330" s="130">
        <v>42757</v>
      </c>
      <c r="B330" s="24" t="s">
        <v>490</v>
      </c>
      <c r="C330" s="24" t="s">
        <v>245</v>
      </c>
      <c r="D330" s="24" t="s">
        <v>442</v>
      </c>
      <c r="E330" s="24">
        <v>4469</v>
      </c>
      <c r="F330" s="24">
        <v>304523</v>
      </c>
    </row>
    <row r="331" spans="1:6" x14ac:dyDescent="0.35">
      <c r="A331" s="130">
        <v>42758</v>
      </c>
      <c r="B331" s="24" t="s">
        <v>491</v>
      </c>
      <c r="C331" s="24" t="s">
        <v>245</v>
      </c>
      <c r="D331" s="24" t="s">
        <v>442</v>
      </c>
      <c r="E331" s="24">
        <v>1264</v>
      </c>
      <c r="F331" s="24">
        <v>304528</v>
      </c>
    </row>
    <row r="332" spans="1:6" x14ac:dyDescent="0.35">
      <c r="A332" s="130">
        <v>42759</v>
      </c>
      <c r="B332" s="24" t="s">
        <v>492</v>
      </c>
      <c r="C332" s="24" t="s">
        <v>245</v>
      </c>
      <c r="D332" s="24" t="s">
        <v>442</v>
      </c>
      <c r="E332" s="24">
        <v>3550</v>
      </c>
      <c r="F332" s="24">
        <v>304534</v>
      </c>
    </row>
    <row r="333" spans="1:6" x14ac:dyDescent="0.35">
      <c r="A333" s="130">
        <v>42760</v>
      </c>
      <c r="B333" s="24" t="s">
        <v>493</v>
      </c>
      <c r="C333" s="24" t="s">
        <v>245</v>
      </c>
      <c r="D333" s="24" t="s">
        <v>442</v>
      </c>
      <c r="E333" s="24">
        <v>3066</v>
      </c>
      <c r="F333" s="24">
        <v>304535</v>
      </c>
    </row>
    <row r="334" spans="1:6" x14ac:dyDescent="0.35">
      <c r="A334" s="130">
        <v>42761</v>
      </c>
      <c r="B334" s="24" t="s">
        <v>494</v>
      </c>
      <c r="C334" s="24" t="s">
        <v>245</v>
      </c>
      <c r="D334" s="24" t="s">
        <v>442</v>
      </c>
      <c r="E334" s="24">
        <v>4531</v>
      </c>
      <c r="F334" s="24">
        <v>304539</v>
      </c>
    </row>
    <row r="335" spans="1:6" x14ac:dyDescent="0.35">
      <c r="A335" s="130">
        <v>42762</v>
      </c>
      <c r="B335" s="24" t="s">
        <v>495</v>
      </c>
      <c r="C335" s="24" t="s">
        <v>245</v>
      </c>
      <c r="D335" s="24" t="s">
        <v>442</v>
      </c>
      <c r="E335" s="24">
        <v>4119</v>
      </c>
      <c r="F335" s="24">
        <v>304541</v>
      </c>
    </row>
    <row r="336" spans="1:6" x14ac:dyDescent="0.35">
      <c r="A336" s="130">
        <v>42763</v>
      </c>
      <c r="B336" s="24" t="s">
        <v>496</v>
      </c>
      <c r="C336" s="24" t="s">
        <v>245</v>
      </c>
      <c r="D336" s="24" t="s">
        <v>442</v>
      </c>
      <c r="E336" s="24">
        <v>2015</v>
      </c>
      <c r="F336" s="24">
        <v>304543</v>
      </c>
    </row>
    <row r="337" spans="1:6" x14ac:dyDescent="0.35">
      <c r="A337" s="130">
        <v>42764</v>
      </c>
      <c r="B337" s="24" t="s">
        <v>497</v>
      </c>
      <c r="C337" s="24" t="s">
        <v>245</v>
      </c>
      <c r="D337" s="24" t="s">
        <v>442</v>
      </c>
      <c r="E337" s="24">
        <v>2473</v>
      </c>
      <c r="F337" s="24">
        <v>304544</v>
      </c>
    </row>
    <row r="338" spans="1:6" x14ac:dyDescent="0.35">
      <c r="A338" s="130">
        <v>42765</v>
      </c>
      <c r="B338" s="24" t="s">
        <v>498</v>
      </c>
      <c r="C338" s="24" t="s">
        <v>245</v>
      </c>
      <c r="D338" s="24" t="s">
        <v>442</v>
      </c>
      <c r="E338" s="24">
        <v>1477</v>
      </c>
      <c r="F338" s="24">
        <v>304552</v>
      </c>
    </row>
    <row r="339" spans="1:6" x14ac:dyDescent="0.35">
      <c r="A339" s="130">
        <v>42766</v>
      </c>
      <c r="B339" s="24" t="s">
        <v>499</v>
      </c>
      <c r="C339" s="24" t="s">
        <v>245</v>
      </c>
      <c r="D339" s="24" t="s">
        <v>442</v>
      </c>
      <c r="E339" s="24">
        <v>3284</v>
      </c>
      <c r="F339" s="24">
        <v>304566</v>
      </c>
    </row>
    <row r="340" spans="1:6" x14ac:dyDescent="0.35">
      <c r="A340" s="130">
        <v>42767</v>
      </c>
      <c r="B340" s="24" t="s">
        <v>426</v>
      </c>
      <c r="C340" s="24" t="s">
        <v>245</v>
      </c>
      <c r="D340" s="24" t="s">
        <v>442</v>
      </c>
      <c r="E340" s="24">
        <v>3433</v>
      </c>
      <c r="F340" s="24">
        <v>304568</v>
      </c>
    </row>
    <row r="341" spans="1:6" x14ac:dyDescent="0.35">
      <c r="A341" s="130">
        <v>42768</v>
      </c>
      <c r="B341" s="24" t="s">
        <v>118</v>
      </c>
      <c r="C341" s="24" t="s">
        <v>245</v>
      </c>
      <c r="D341" s="24" t="s">
        <v>442</v>
      </c>
      <c r="E341" s="24">
        <v>3532</v>
      </c>
      <c r="F341" s="24">
        <v>304569</v>
      </c>
    </row>
    <row r="342" spans="1:6" x14ac:dyDescent="0.35">
      <c r="A342" s="130">
        <v>42769</v>
      </c>
      <c r="B342" s="24" t="s">
        <v>428</v>
      </c>
      <c r="C342" s="24" t="s">
        <v>245</v>
      </c>
      <c r="D342" s="24" t="s">
        <v>442</v>
      </c>
      <c r="E342" s="24">
        <v>2066</v>
      </c>
      <c r="F342" s="24">
        <v>304570</v>
      </c>
    </row>
    <row r="343" spans="1:6" x14ac:dyDescent="0.35">
      <c r="A343" s="130">
        <v>42770</v>
      </c>
      <c r="B343" s="24" t="s">
        <v>500</v>
      </c>
      <c r="C343" s="24" t="s">
        <v>245</v>
      </c>
      <c r="D343" s="24" t="s">
        <v>442</v>
      </c>
      <c r="E343" s="24">
        <v>3568</v>
      </c>
      <c r="F343" s="24">
        <v>304571</v>
      </c>
    </row>
    <row r="344" spans="1:6" x14ac:dyDescent="0.35">
      <c r="A344" s="130">
        <v>42771</v>
      </c>
      <c r="B344" s="24" t="s">
        <v>500</v>
      </c>
      <c r="C344" s="24" t="s">
        <v>245</v>
      </c>
      <c r="D344" s="24" t="s">
        <v>442</v>
      </c>
      <c r="E344" s="24">
        <v>1719</v>
      </c>
      <c r="F344" s="24">
        <v>312538</v>
      </c>
    </row>
    <row r="345" spans="1:6" x14ac:dyDescent="0.35">
      <c r="A345" s="130">
        <v>42772</v>
      </c>
      <c r="B345" s="24" t="s">
        <v>501</v>
      </c>
      <c r="C345" s="24" t="s">
        <v>245</v>
      </c>
      <c r="D345" s="24" t="s">
        <v>442</v>
      </c>
      <c r="E345" s="24">
        <v>4058</v>
      </c>
      <c r="F345" s="24">
        <v>312540</v>
      </c>
    </row>
    <row r="346" spans="1:6" x14ac:dyDescent="0.35">
      <c r="A346" s="130">
        <v>42773</v>
      </c>
      <c r="B346" s="24" t="s">
        <v>502</v>
      </c>
      <c r="C346" s="24" t="s">
        <v>245</v>
      </c>
      <c r="D346" s="24" t="s">
        <v>442</v>
      </c>
      <c r="E346" s="24">
        <v>3965</v>
      </c>
      <c r="F346" s="24">
        <v>312542</v>
      </c>
    </row>
    <row r="347" spans="1:6" x14ac:dyDescent="0.35">
      <c r="A347" s="130">
        <v>42774</v>
      </c>
      <c r="B347" s="24" t="s">
        <v>503</v>
      </c>
      <c r="C347" s="24" t="s">
        <v>245</v>
      </c>
      <c r="D347" s="24" t="s">
        <v>442</v>
      </c>
      <c r="E347" s="24">
        <v>3084</v>
      </c>
      <c r="F347" s="24">
        <v>312543</v>
      </c>
    </row>
    <row r="348" spans="1:6" x14ac:dyDescent="0.35">
      <c r="A348" s="130">
        <v>42775</v>
      </c>
      <c r="B348" s="24" t="s">
        <v>504</v>
      </c>
      <c r="C348" s="24" t="s">
        <v>245</v>
      </c>
      <c r="D348" s="24" t="s">
        <v>442</v>
      </c>
      <c r="E348" s="24">
        <v>2475</v>
      </c>
      <c r="F348" s="24">
        <v>312551</v>
      </c>
    </row>
    <row r="349" spans="1:6" x14ac:dyDescent="0.35">
      <c r="A349" s="130">
        <v>42776</v>
      </c>
      <c r="B349" s="24" t="s">
        <v>505</v>
      </c>
      <c r="C349" s="24" t="s">
        <v>245</v>
      </c>
      <c r="D349" s="24" t="s">
        <v>442</v>
      </c>
      <c r="E349" s="24">
        <v>2175</v>
      </c>
      <c r="F349" s="24">
        <v>312560</v>
      </c>
    </row>
    <row r="350" spans="1:6" x14ac:dyDescent="0.35">
      <c r="A350" s="130">
        <v>42777</v>
      </c>
      <c r="B350" s="24" t="s">
        <v>506</v>
      </c>
      <c r="C350" s="24" t="s">
        <v>245</v>
      </c>
      <c r="D350" s="24" t="s">
        <v>442</v>
      </c>
      <c r="E350" s="24">
        <v>2865</v>
      </c>
      <c r="F350" s="24">
        <v>312600</v>
      </c>
    </row>
    <row r="351" spans="1:6" x14ac:dyDescent="0.35">
      <c r="A351" s="130">
        <v>42778</v>
      </c>
      <c r="B351" s="24" t="s">
        <v>506</v>
      </c>
      <c r="C351" s="24" t="s">
        <v>245</v>
      </c>
      <c r="D351" s="24" t="s">
        <v>442</v>
      </c>
      <c r="E351" s="24">
        <v>3057</v>
      </c>
      <c r="F351" s="24">
        <v>312603</v>
      </c>
    </row>
    <row r="352" spans="1:6" x14ac:dyDescent="0.35">
      <c r="A352" s="130">
        <v>42779</v>
      </c>
      <c r="B352" s="24" t="s">
        <v>507</v>
      </c>
      <c r="C352" s="24" t="s">
        <v>245</v>
      </c>
      <c r="D352" s="24" t="s">
        <v>442</v>
      </c>
      <c r="E352" s="24">
        <v>3043</v>
      </c>
      <c r="F352" s="24">
        <v>312604</v>
      </c>
    </row>
    <row r="353" spans="1:6" x14ac:dyDescent="0.35">
      <c r="A353" s="130">
        <v>42780</v>
      </c>
      <c r="B353" s="24" t="s">
        <v>508</v>
      </c>
      <c r="C353" s="24" t="s">
        <v>245</v>
      </c>
      <c r="D353" s="24" t="s">
        <v>442</v>
      </c>
      <c r="E353" s="24">
        <v>3685</v>
      </c>
      <c r="F353" s="24">
        <v>312619</v>
      </c>
    </row>
    <row r="354" spans="1:6" x14ac:dyDescent="0.35">
      <c r="A354" s="130">
        <v>42781</v>
      </c>
      <c r="B354" s="24" t="s">
        <v>508</v>
      </c>
      <c r="C354" s="24" t="s">
        <v>245</v>
      </c>
      <c r="D354" s="24" t="s">
        <v>442</v>
      </c>
      <c r="E354" s="24">
        <v>1216</v>
      </c>
      <c r="F354" s="24">
        <v>312627</v>
      </c>
    </row>
    <row r="355" spans="1:6" x14ac:dyDescent="0.35">
      <c r="A355" s="130">
        <v>42782</v>
      </c>
      <c r="B355" s="24" t="s">
        <v>509</v>
      </c>
      <c r="C355" s="24" t="s">
        <v>245</v>
      </c>
      <c r="D355" s="24" t="s">
        <v>442</v>
      </c>
      <c r="E355" s="24">
        <v>4471</v>
      </c>
      <c r="F355" s="24">
        <v>312630</v>
      </c>
    </row>
    <row r="356" spans="1:6" x14ac:dyDescent="0.35">
      <c r="A356" s="130">
        <v>42783</v>
      </c>
      <c r="B356" s="24" t="s">
        <v>510</v>
      </c>
      <c r="C356" s="24" t="s">
        <v>245</v>
      </c>
      <c r="D356" s="24" t="s">
        <v>442</v>
      </c>
      <c r="E356" s="24">
        <v>4407</v>
      </c>
      <c r="F356" s="24">
        <v>312641</v>
      </c>
    </row>
    <row r="357" spans="1:6" x14ac:dyDescent="0.35">
      <c r="A357" s="130">
        <v>42784</v>
      </c>
      <c r="B357" s="24" t="s">
        <v>511</v>
      </c>
      <c r="C357" s="24" t="s">
        <v>245</v>
      </c>
      <c r="D357" s="24" t="s">
        <v>442</v>
      </c>
      <c r="E357" s="24">
        <v>3124</v>
      </c>
      <c r="F357" s="24">
        <v>316506</v>
      </c>
    </row>
    <row r="358" spans="1:6" x14ac:dyDescent="0.35">
      <c r="A358" s="130">
        <v>42785</v>
      </c>
      <c r="B358" s="24" t="s">
        <v>511</v>
      </c>
      <c r="C358" s="24" t="s">
        <v>245</v>
      </c>
      <c r="D358" s="24" t="s">
        <v>442</v>
      </c>
      <c r="E358" s="24">
        <v>2962</v>
      </c>
      <c r="F358" s="24">
        <v>316518</v>
      </c>
    </row>
    <row r="359" spans="1:6" x14ac:dyDescent="0.35">
      <c r="A359" s="130">
        <v>42786</v>
      </c>
      <c r="B359" s="24" t="s">
        <v>512</v>
      </c>
      <c r="C359" s="24" t="s">
        <v>245</v>
      </c>
      <c r="D359" s="24" t="s">
        <v>442</v>
      </c>
      <c r="E359" s="24">
        <v>3898</v>
      </c>
      <c r="F359" s="24">
        <v>316524</v>
      </c>
    </row>
    <row r="360" spans="1:6" x14ac:dyDescent="0.35">
      <c r="A360" s="130">
        <v>42787</v>
      </c>
      <c r="B360" s="24" t="s">
        <v>513</v>
      </c>
      <c r="C360" s="24" t="s">
        <v>245</v>
      </c>
      <c r="D360" s="24" t="s">
        <v>442</v>
      </c>
      <c r="E360" s="24">
        <v>3899</v>
      </c>
      <c r="F360" s="24">
        <v>316525</v>
      </c>
    </row>
    <row r="361" spans="1:6" x14ac:dyDescent="0.35">
      <c r="A361" s="130">
        <v>42788</v>
      </c>
      <c r="B361" s="24" t="s">
        <v>514</v>
      </c>
      <c r="C361" s="24" t="s">
        <v>245</v>
      </c>
      <c r="D361" s="24" t="s">
        <v>442</v>
      </c>
      <c r="E361" s="24">
        <v>1295</v>
      </c>
      <c r="F361" s="24">
        <v>316526</v>
      </c>
    </row>
    <row r="362" spans="1:6" x14ac:dyDescent="0.35">
      <c r="A362" s="130">
        <v>42789</v>
      </c>
      <c r="B362" s="24" t="s">
        <v>514</v>
      </c>
      <c r="C362" s="24" t="s">
        <v>245</v>
      </c>
      <c r="D362" s="24" t="s">
        <v>442</v>
      </c>
      <c r="E362" s="24">
        <v>3315</v>
      </c>
      <c r="F362" s="24">
        <v>316533</v>
      </c>
    </row>
    <row r="363" spans="1:6" x14ac:dyDescent="0.35">
      <c r="A363" s="130">
        <v>42790</v>
      </c>
      <c r="B363" s="24" t="s">
        <v>515</v>
      </c>
      <c r="C363" s="24" t="s">
        <v>245</v>
      </c>
      <c r="D363" s="24" t="s">
        <v>442</v>
      </c>
      <c r="E363" s="24">
        <v>2990</v>
      </c>
      <c r="F363" s="24">
        <v>316566</v>
      </c>
    </row>
    <row r="364" spans="1:6" x14ac:dyDescent="0.35">
      <c r="A364" s="130">
        <v>42791</v>
      </c>
      <c r="B364" s="24" t="s">
        <v>516</v>
      </c>
      <c r="C364" s="24" t="s">
        <v>245</v>
      </c>
      <c r="D364" s="24" t="s">
        <v>442</v>
      </c>
      <c r="E364" s="24">
        <v>1984</v>
      </c>
      <c r="F364" s="24">
        <v>316584</v>
      </c>
    </row>
    <row r="365" spans="1:6" x14ac:dyDescent="0.35">
      <c r="A365" s="130">
        <v>42792</v>
      </c>
      <c r="B365" s="24" t="s">
        <v>517</v>
      </c>
      <c r="C365" s="24" t="s">
        <v>245</v>
      </c>
      <c r="D365" s="24" t="s">
        <v>442</v>
      </c>
      <c r="E365" s="24">
        <v>4562</v>
      </c>
      <c r="F365" s="24">
        <v>304529</v>
      </c>
    </row>
    <row r="366" spans="1:6" x14ac:dyDescent="0.35">
      <c r="A366" s="130">
        <v>42793</v>
      </c>
      <c r="B366" s="24" t="s">
        <v>518</v>
      </c>
      <c r="C366" s="24" t="s">
        <v>245</v>
      </c>
      <c r="D366" s="24" t="s">
        <v>442</v>
      </c>
      <c r="E366" s="24">
        <v>3071</v>
      </c>
      <c r="F366" s="24">
        <v>304547</v>
      </c>
    </row>
    <row r="367" spans="1:6" x14ac:dyDescent="0.35">
      <c r="A367" s="130">
        <v>42794</v>
      </c>
      <c r="B367" s="24" t="s">
        <v>519</v>
      </c>
      <c r="C367" s="24" t="s">
        <v>245</v>
      </c>
      <c r="D367" s="24" t="s">
        <v>442</v>
      </c>
      <c r="E367" s="24">
        <v>3054</v>
      </c>
      <c r="F367" s="24">
        <v>304530</v>
      </c>
    </row>
    <row r="368" spans="1:6" x14ac:dyDescent="0.35">
      <c r="A368" s="130">
        <v>42795</v>
      </c>
      <c r="B368" s="24" t="s">
        <v>519</v>
      </c>
      <c r="C368" s="24" t="s">
        <v>245</v>
      </c>
      <c r="D368" s="24" t="s">
        <v>442</v>
      </c>
      <c r="E368" s="24">
        <v>4270</v>
      </c>
      <c r="F368" s="24">
        <v>304531</v>
      </c>
    </row>
    <row r="369" spans="1:6" x14ac:dyDescent="0.35">
      <c r="A369" s="130">
        <v>42796</v>
      </c>
      <c r="B369" s="24" t="s">
        <v>520</v>
      </c>
      <c r="C369" s="24" t="s">
        <v>245</v>
      </c>
      <c r="D369" s="24" t="s">
        <v>442</v>
      </c>
      <c r="E369" s="24">
        <v>1053</v>
      </c>
      <c r="F369" s="24">
        <v>308516</v>
      </c>
    </row>
    <row r="370" spans="1:6" x14ac:dyDescent="0.35">
      <c r="A370" s="130">
        <v>42797</v>
      </c>
      <c r="B370" s="24" t="s">
        <v>521</v>
      </c>
      <c r="C370" s="24" t="s">
        <v>245</v>
      </c>
      <c r="D370" s="24" t="s">
        <v>442</v>
      </c>
      <c r="E370" s="24">
        <v>2191</v>
      </c>
      <c r="F370" s="24">
        <v>308529</v>
      </c>
    </row>
    <row r="371" spans="1:6" x14ac:dyDescent="0.35">
      <c r="A371" s="130">
        <v>42798</v>
      </c>
      <c r="B371" s="24" t="s">
        <v>522</v>
      </c>
      <c r="C371" s="24" t="s">
        <v>245</v>
      </c>
      <c r="D371" s="24" t="s">
        <v>442</v>
      </c>
      <c r="E371" s="24">
        <v>3314</v>
      </c>
      <c r="F371" s="24">
        <v>308532</v>
      </c>
    </row>
    <row r="372" spans="1:6" x14ac:dyDescent="0.35">
      <c r="A372" s="130">
        <v>42799</v>
      </c>
      <c r="B372" s="24" t="s">
        <v>523</v>
      </c>
      <c r="C372" s="24" t="s">
        <v>245</v>
      </c>
      <c r="D372" s="24" t="s">
        <v>442</v>
      </c>
      <c r="E372" s="24">
        <v>2514</v>
      </c>
      <c r="F372" s="24">
        <v>344543</v>
      </c>
    </row>
    <row r="373" spans="1:6" x14ac:dyDescent="0.35">
      <c r="A373" s="130">
        <v>42800</v>
      </c>
      <c r="B373" s="24" t="s">
        <v>524</v>
      </c>
      <c r="C373" s="24" t="s">
        <v>245</v>
      </c>
      <c r="D373" s="24" t="s">
        <v>442</v>
      </c>
      <c r="E373" s="24">
        <v>1193</v>
      </c>
      <c r="F373" s="24">
        <v>344584</v>
      </c>
    </row>
    <row r="374" spans="1:6" x14ac:dyDescent="0.35">
      <c r="A374" s="130">
        <v>42801</v>
      </c>
      <c r="B374" s="24" t="s">
        <v>525</v>
      </c>
      <c r="C374" s="24" t="s">
        <v>245</v>
      </c>
      <c r="D374" s="24" t="s">
        <v>442</v>
      </c>
      <c r="E374" s="24">
        <v>4519</v>
      </c>
      <c r="F374" s="24">
        <v>344601</v>
      </c>
    </row>
    <row r="375" spans="1:6" x14ac:dyDescent="0.35">
      <c r="A375" s="130">
        <v>42802</v>
      </c>
      <c r="B375" s="24" t="s">
        <v>525</v>
      </c>
      <c r="C375" s="24" t="s">
        <v>245</v>
      </c>
      <c r="D375" s="24" t="s">
        <v>442</v>
      </c>
      <c r="E375" s="24">
        <v>3825</v>
      </c>
      <c r="F375" s="24">
        <v>344605</v>
      </c>
    </row>
    <row r="376" spans="1:6" x14ac:dyDescent="0.35">
      <c r="A376" s="130">
        <v>42803</v>
      </c>
      <c r="B376" s="24" t="s">
        <v>526</v>
      </c>
      <c r="C376" s="24" t="s">
        <v>245</v>
      </c>
      <c r="D376" s="24" t="s">
        <v>442</v>
      </c>
      <c r="E376" s="24">
        <v>3342</v>
      </c>
      <c r="F376" s="24">
        <v>344626</v>
      </c>
    </row>
    <row r="377" spans="1:6" x14ac:dyDescent="0.35">
      <c r="A377" s="130">
        <v>42804</v>
      </c>
      <c r="B377" s="24" t="s">
        <v>527</v>
      </c>
      <c r="C377" s="24" t="s">
        <v>245</v>
      </c>
      <c r="D377" s="24" t="s">
        <v>442</v>
      </c>
      <c r="E377" s="24">
        <v>4935</v>
      </c>
      <c r="F377" s="24">
        <v>344647</v>
      </c>
    </row>
    <row r="378" spans="1:6" x14ac:dyDescent="0.35">
      <c r="A378" s="130">
        <v>42805</v>
      </c>
      <c r="B378" s="24" t="s">
        <v>528</v>
      </c>
      <c r="C378" s="24" t="s">
        <v>245</v>
      </c>
      <c r="D378" s="24" t="s">
        <v>442</v>
      </c>
      <c r="E378" s="24">
        <v>4269</v>
      </c>
      <c r="F378" s="24">
        <v>344681</v>
      </c>
    </row>
    <row r="379" spans="1:6" x14ac:dyDescent="0.35">
      <c r="A379" s="130">
        <v>42806</v>
      </c>
      <c r="B379" s="24" t="s">
        <v>118</v>
      </c>
      <c r="C379" s="24" t="s">
        <v>245</v>
      </c>
      <c r="D379" s="24" t="s">
        <v>442</v>
      </c>
      <c r="E379" s="24">
        <v>4523</v>
      </c>
      <c r="F379" s="24">
        <v>344683</v>
      </c>
    </row>
    <row r="380" spans="1:6" x14ac:dyDescent="0.35">
      <c r="A380" s="130">
        <v>42807</v>
      </c>
      <c r="B380" s="24" t="s">
        <v>529</v>
      </c>
      <c r="C380" s="24" t="s">
        <v>245</v>
      </c>
      <c r="D380" s="24" t="s">
        <v>442</v>
      </c>
      <c r="E380" s="24">
        <v>4549</v>
      </c>
      <c r="F380" s="24">
        <v>344722</v>
      </c>
    </row>
    <row r="381" spans="1:6" x14ac:dyDescent="0.35">
      <c r="A381" s="130">
        <v>42808</v>
      </c>
      <c r="B381" s="24" t="s">
        <v>530</v>
      </c>
      <c r="C381" s="24" t="s">
        <v>245</v>
      </c>
      <c r="D381" s="24" t="s">
        <v>442</v>
      </c>
      <c r="E381" s="24">
        <v>1919</v>
      </c>
      <c r="F381" s="24">
        <v>344731</v>
      </c>
    </row>
    <row r="382" spans="1:6" x14ac:dyDescent="0.35">
      <c r="A382" s="130">
        <v>42809</v>
      </c>
      <c r="B382" s="24" t="s">
        <v>530</v>
      </c>
      <c r="C382" s="24" t="s">
        <v>245</v>
      </c>
      <c r="D382" s="24" t="s">
        <v>442</v>
      </c>
      <c r="E382" s="24">
        <v>3151</v>
      </c>
      <c r="F382" s="24">
        <v>344732</v>
      </c>
    </row>
    <row r="383" spans="1:6" x14ac:dyDescent="0.35">
      <c r="A383" s="130">
        <v>42810</v>
      </c>
      <c r="B383" s="24" t="s">
        <v>531</v>
      </c>
      <c r="C383" s="24" t="s">
        <v>245</v>
      </c>
      <c r="D383" s="24" t="s">
        <v>442</v>
      </c>
      <c r="E383" s="24">
        <v>2897</v>
      </c>
      <c r="F383" s="24">
        <v>344643</v>
      </c>
    </row>
    <row r="384" spans="1:6" x14ac:dyDescent="0.35">
      <c r="A384" s="130">
        <v>42811</v>
      </c>
      <c r="B384" s="24" t="s">
        <v>532</v>
      </c>
      <c r="C384" s="24" t="s">
        <v>245</v>
      </c>
      <c r="D384" s="24" t="s">
        <v>442</v>
      </c>
      <c r="E384" s="24">
        <v>3301</v>
      </c>
      <c r="F384" s="24">
        <v>344748</v>
      </c>
    </row>
    <row r="385" spans="1:6" x14ac:dyDescent="0.35">
      <c r="A385" s="130">
        <v>42812</v>
      </c>
      <c r="B385" s="24" t="s">
        <v>533</v>
      </c>
      <c r="C385" s="24" t="s">
        <v>245</v>
      </c>
      <c r="D385" s="24" t="s">
        <v>442</v>
      </c>
      <c r="E385" s="24">
        <v>4927</v>
      </c>
      <c r="F385" s="24">
        <v>344750</v>
      </c>
    </row>
    <row r="386" spans="1:6" x14ac:dyDescent="0.35">
      <c r="A386" s="130">
        <v>42813</v>
      </c>
      <c r="B386" s="24" t="s">
        <v>534</v>
      </c>
      <c r="C386" s="24" t="s">
        <v>245</v>
      </c>
      <c r="D386" s="24" t="s">
        <v>442</v>
      </c>
      <c r="E386" s="24">
        <v>2162</v>
      </c>
      <c r="F386" s="24">
        <v>344751</v>
      </c>
    </row>
    <row r="387" spans="1:6" x14ac:dyDescent="0.35">
      <c r="A387" s="130">
        <v>42814</v>
      </c>
      <c r="B387" s="24" t="s">
        <v>534</v>
      </c>
      <c r="C387" s="24" t="s">
        <v>245</v>
      </c>
      <c r="D387" s="24" t="s">
        <v>442</v>
      </c>
      <c r="E387" s="24">
        <v>3273</v>
      </c>
      <c r="F387" s="24">
        <v>344752</v>
      </c>
    </row>
    <row r="388" spans="1:6" x14ac:dyDescent="0.35">
      <c r="A388" s="130">
        <v>42815</v>
      </c>
      <c r="B388" s="24" t="s">
        <v>535</v>
      </c>
      <c r="C388" s="24" t="s">
        <v>245</v>
      </c>
      <c r="D388" s="24" t="s">
        <v>442</v>
      </c>
      <c r="E388" s="24">
        <v>2568</v>
      </c>
      <c r="F388" s="24">
        <v>344753</v>
      </c>
    </row>
    <row r="389" spans="1:6" x14ac:dyDescent="0.35">
      <c r="A389" s="130">
        <v>42816</v>
      </c>
      <c r="B389" s="24" t="s">
        <v>536</v>
      </c>
      <c r="C389" s="24" t="s">
        <v>245</v>
      </c>
      <c r="D389" s="24" t="s">
        <v>442</v>
      </c>
      <c r="E389" s="24">
        <v>3677</v>
      </c>
      <c r="F389" s="24">
        <v>344754</v>
      </c>
    </row>
    <row r="390" spans="1:6" x14ac:dyDescent="0.35">
      <c r="A390" s="130">
        <v>42817</v>
      </c>
      <c r="B390" s="24" t="s">
        <v>537</v>
      </c>
      <c r="C390" s="24" t="s">
        <v>245</v>
      </c>
      <c r="D390" s="24" t="s">
        <v>442</v>
      </c>
      <c r="E390" s="24">
        <v>1773</v>
      </c>
      <c r="F390" s="24">
        <v>344755</v>
      </c>
    </row>
    <row r="391" spans="1:6" x14ac:dyDescent="0.35">
      <c r="A391" s="130">
        <v>42818</v>
      </c>
      <c r="B391" s="24" t="s">
        <v>538</v>
      </c>
      <c r="C391" s="24" t="s">
        <v>245</v>
      </c>
      <c r="D391" s="24" t="s">
        <v>442</v>
      </c>
      <c r="E391" s="24">
        <v>3949</v>
      </c>
      <c r="F391" s="24">
        <v>344757</v>
      </c>
    </row>
    <row r="392" spans="1:6" x14ac:dyDescent="0.35">
      <c r="A392" s="130">
        <v>42819</v>
      </c>
      <c r="B392" s="24" t="s">
        <v>538</v>
      </c>
      <c r="C392" s="24" t="s">
        <v>245</v>
      </c>
      <c r="D392" s="24" t="s">
        <v>442</v>
      </c>
      <c r="E392" s="24">
        <v>3224</v>
      </c>
      <c r="F392" s="24">
        <v>344759</v>
      </c>
    </row>
    <row r="393" spans="1:6" x14ac:dyDescent="0.35">
      <c r="A393" s="130">
        <v>42820</v>
      </c>
      <c r="B393" s="24" t="s">
        <v>539</v>
      </c>
      <c r="C393" s="24" t="s">
        <v>245</v>
      </c>
      <c r="D393" s="24" t="s">
        <v>442</v>
      </c>
      <c r="E393" s="24">
        <v>1834</v>
      </c>
      <c r="F393" s="24">
        <v>344760</v>
      </c>
    </row>
    <row r="394" spans="1:6" x14ac:dyDescent="0.35">
      <c r="A394" s="130">
        <v>42821</v>
      </c>
      <c r="B394" s="24" t="s">
        <v>540</v>
      </c>
      <c r="C394" s="24" t="s">
        <v>245</v>
      </c>
      <c r="D394" s="24" t="s">
        <v>442</v>
      </c>
      <c r="E394" s="24">
        <v>4825</v>
      </c>
      <c r="F394" s="24">
        <v>344762</v>
      </c>
    </row>
    <row r="395" spans="1:6" x14ac:dyDescent="0.35">
      <c r="A395" s="130">
        <v>42822</v>
      </c>
      <c r="B395" s="24" t="s">
        <v>541</v>
      </c>
      <c r="C395" s="24" t="s">
        <v>245</v>
      </c>
      <c r="D395" s="24" t="s">
        <v>442</v>
      </c>
      <c r="E395" s="24">
        <v>3341</v>
      </c>
      <c r="F395" s="24">
        <v>344763</v>
      </c>
    </row>
    <row r="396" spans="1:6" x14ac:dyDescent="0.35">
      <c r="A396" s="130">
        <v>42823</v>
      </c>
      <c r="B396" s="24" t="s">
        <v>542</v>
      </c>
      <c r="C396" s="24" t="s">
        <v>245</v>
      </c>
      <c r="D396" s="24" t="s">
        <v>442</v>
      </c>
      <c r="E396" s="24">
        <v>2464</v>
      </c>
      <c r="F396" s="24">
        <v>344764</v>
      </c>
    </row>
    <row r="397" spans="1:6" x14ac:dyDescent="0.35">
      <c r="A397" s="130">
        <v>42824</v>
      </c>
      <c r="B397" s="24" t="s">
        <v>543</v>
      </c>
      <c r="C397" s="24" t="s">
        <v>245</v>
      </c>
      <c r="D397" s="24" t="s">
        <v>442</v>
      </c>
      <c r="E397" s="24">
        <v>4454</v>
      </c>
      <c r="F397" s="24">
        <v>344765</v>
      </c>
    </row>
    <row r="398" spans="1:6" x14ac:dyDescent="0.35">
      <c r="A398" s="130">
        <v>42825</v>
      </c>
      <c r="B398" s="24" t="s">
        <v>543</v>
      </c>
      <c r="C398" s="24" t="s">
        <v>245</v>
      </c>
      <c r="D398" s="24" t="s">
        <v>442</v>
      </c>
      <c r="E398" s="24">
        <v>4705</v>
      </c>
      <c r="F398" s="24">
        <v>348501</v>
      </c>
    </row>
    <row r="399" spans="1:6" x14ac:dyDescent="0.35">
      <c r="A399" s="130">
        <v>42826</v>
      </c>
      <c r="B399" s="24" t="s">
        <v>544</v>
      </c>
      <c r="C399" s="24" t="s">
        <v>245</v>
      </c>
      <c r="D399" s="24" t="s">
        <v>442</v>
      </c>
      <c r="E399" s="24">
        <v>1967</v>
      </c>
      <c r="F399" s="24">
        <v>348519</v>
      </c>
    </row>
    <row r="400" spans="1:6" x14ac:dyDescent="0.35">
      <c r="A400" s="130">
        <v>42827</v>
      </c>
      <c r="B400" s="24" t="s">
        <v>544</v>
      </c>
      <c r="C400" s="24" t="s">
        <v>245</v>
      </c>
      <c r="D400" s="24" t="s">
        <v>442</v>
      </c>
      <c r="E400" s="24">
        <v>4127</v>
      </c>
      <c r="F400" s="24">
        <v>348523</v>
      </c>
    </row>
    <row r="401" spans="1:6" x14ac:dyDescent="0.35">
      <c r="A401" s="130">
        <v>42828</v>
      </c>
      <c r="B401" s="24" t="s">
        <v>545</v>
      </c>
      <c r="C401" s="24" t="s">
        <v>245</v>
      </c>
      <c r="D401" s="24" t="s">
        <v>442</v>
      </c>
      <c r="E401" s="24">
        <v>2829</v>
      </c>
      <c r="F401" s="24">
        <v>348565</v>
      </c>
    </row>
    <row r="402" spans="1:6" x14ac:dyDescent="0.35">
      <c r="A402" s="130">
        <v>42829</v>
      </c>
      <c r="B402" s="24" t="s">
        <v>545</v>
      </c>
      <c r="C402" s="24" t="s">
        <v>245</v>
      </c>
      <c r="D402" s="24" t="s">
        <v>442</v>
      </c>
      <c r="E402" s="24">
        <v>4047</v>
      </c>
      <c r="F402" s="24">
        <v>348571</v>
      </c>
    </row>
    <row r="403" spans="1:6" x14ac:dyDescent="0.35">
      <c r="A403" s="130">
        <v>42830</v>
      </c>
      <c r="B403" s="24" t="s">
        <v>546</v>
      </c>
      <c r="C403" s="24" t="s">
        <v>245</v>
      </c>
      <c r="D403" s="24" t="s">
        <v>442</v>
      </c>
      <c r="E403" s="24">
        <v>2824</v>
      </c>
      <c r="F403" s="24">
        <v>320535</v>
      </c>
    </row>
    <row r="404" spans="1:6" x14ac:dyDescent="0.35">
      <c r="A404" s="130">
        <v>42831</v>
      </c>
      <c r="B404" s="24" t="s">
        <v>547</v>
      </c>
      <c r="C404" s="24" t="s">
        <v>245</v>
      </c>
      <c r="D404" s="24" t="s">
        <v>442</v>
      </c>
      <c r="E404" s="24">
        <v>1335</v>
      </c>
      <c r="F404" s="24">
        <v>320558</v>
      </c>
    </row>
    <row r="405" spans="1:6" x14ac:dyDescent="0.35">
      <c r="A405" s="130">
        <v>42832</v>
      </c>
      <c r="B405" s="24" t="s">
        <v>548</v>
      </c>
      <c r="C405" s="24" t="s">
        <v>245</v>
      </c>
      <c r="D405" s="24" t="s">
        <v>442</v>
      </c>
      <c r="E405" s="24">
        <v>3184</v>
      </c>
      <c r="F405" s="24">
        <v>320567</v>
      </c>
    </row>
    <row r="406" spans="1:6" x14ac:dyDescent="0.35">
      <c r="A406" s="130">
        <v>42833</v>
      </c>
      <c r="B406" s="24" t="s">
        <v>548</v>
      </c>
      <c r="C406" s="24" t="s">
        <v>245</v>
      </c>
      <c r="D406" s="24" t="s">
        <v>442</v>
      </c>
      <c r="E406" s="24">
        <v>1913</v>
      </c>
      <c r="F406" s="24">
        <v>320578</v>
      </c>
    </row>
    <row r="407" spans="1:6" x14ac:dyDescent="0.35">
      <c r="A407" s="130">
        <v>42834</v>
      </c>
      <c r="B407" s="24" t="s">
        <v>549</v>
      </c>
      <c r="C407" s="24" t="s">
        <v>245</v>
      </c>
      <c r="D407" s="24" t="s">
        <v>442</v>
      </c>
      <c r="E407" s="24">
        <v>1450</v>
      </c>
      <c r="F407" s="24">
        <v>320595</v>
      </c>
    </row>
    <row r="408" spans="1:6" x14ac:dyDescent="0.35">
      <c r="A408" s="130">
        <v>42835</v>
      </c>
      <c r="B408" s="24" t="s">
        <v>549</v>
      </c>
      <c r="C408" s="24" t="s">
        <v>245</v>
      </c>
      <c r="D408" s="24" t="s">
        <v>442</v>
      </c>
      <c r="E408" s="24">
        <v>4800</v>
      </c>
      <c r="F408" s="24">
        <v>320629</v>
      </c>
    </row>
    <row r="409" spans="1:6" x14ac:dyDescent="0.35">
      <c r="A409" s="130">
        <v>42836</v>
      </c>
      <c r="B409" s="24" t="s">
        <v>550</v>
      </c>
      <c r="C409" s="24" t="s">
        <v>245</v>
      </c>
      <c r="D409" s="24" t="s">
        <v>442</v>
      </c>
      <c r="E409" s="24">
        <v>4347</v>
      </c>
      <c r="F409" s="24">
        <v>320562</v>
      </c>
    </row>
    <row r="410" spans="1:6" x14ac:dyDescent="0.35">
      <c r="A410" s="130">
        <v>42837</v>
      </c>
      <c r="B410" s="24" t="s">
        <v>551</v>
      </c>
      <c r="C410" s="24" t="s">
        <v>245</v>
      </c>
      <c r="D410" s="24" t="s">
        <v>442</v>
      </c>
      <c r="E410" s="24">
        <v>1356</v>
      </c>
      <c r="F410" s="24">
        <v>320631</v>
      </c>
    </row>
    <row r="411" spans="1:6" x14ac:dyDescent="0.35">
      <c r="A411" s="130">
        <v>42838</v>
      </c>
      <c r="B411" s="24" t="s">
        <v>552</v>
      </c>
      <c r="C411" s="24" t="s">
        <v>245</v>
      </c>
      <c r="D411" s="24" t="s">
        <v>442</v>
      </c>
      <c r="E411" s="24">
        <v>3015</v>
      </c>
      <c r="F411" s="24">
        <v>324533</v>
      </c>
    </row>
    <row r="412" spans="1:6" x14ac:dyDescent="0.35">
      <c r="A412" s="130">
        <v>42839</v>
      </c>
      <c r="B412" s="24" t="s">
        <v>552</v>
      </c>
      <c r="C412" s="24" t="s">
        <v>245</v>
      </c>
      <c r="D412" s="24" t="s">
        <v>442</v>
      </c>
      <c r="E412" s="24">
        <v>3497</v>
      </c>
      <c r="F412" s="24">
        <v>324590</v>
      </c>
    </row>
    <row r="413" spans="1:6" x14ac:dyDescent="0.35">
      <c r="A413" s="130">
        <v>42840</v>
      </c>
      <c r="B413" s="24" t="s">
        <v>553</v>
      </c>
      <c r="C413" s="24" t="s">
        <v>245</v>
      </c>
      <c r="D413" s="24" t="s">
        <v>442</v>
      </c>
      <c r="E413" s="24">
        <v>3818</v>
      </c>
      <c r="F413" s="24">
        <v>324660</v>
      </c>
    </row>
    <row r="414" spans="1:6" x14ac:dyDescent="0.35">
      <c r="A414" s="130">
        <v>42841</v>
      </c>
      <c r="B414" s="24" t="s">
        <v>553</v>
      </c>
      <c r="C414" s="24" t="s">
        <v>245</v>
      </c>
      <c r="D414" s="24" t="s">
        <v>442</v>
      </c>
      <c r="E414" s="24">
        <v>2142</v>
      </c>
      <c r="F414" s="24">
        <v>324718</v>
      </c>
    </row>
    <row r="415" spans="1:6" x14ac:dyDescent="0.35">
      <c r="A415" s="130">
        <v>42842</v>
      </c>
      <c r="B415" s="24" t="s">
        <v>554</v>
      </c>
      <c r="C415" s="24" t="s">
        <v>245</v>
      </c>
      <c r="D415" s="24" t="s">
        <v>442</v>
      </c>
      <c r="E415" s="24">
        <v>1711</v>
      </c>
      <c r="F415" s="24">
        <v>324749</v>
      </c>
    </row>
    <row r="416" spans="1:6" x14ac:dyDescent="0.35">
      <c r="A416" s="130">
        <v>42843</v>
      </c>
      <c r="B416" s="24" t="s">
        <v>554</v>
      </c>
      <c r="C416" s="24" t="s">
        <v>245</v>
      </c>
      <c r="D416" s="24" t="s">
        <v>442</v>
      </c>
      <c r="E416" s="24">
        <v>4419</v>
      </c>
      <c r="F416" s="24">
        <v>324804</v>
      </c>
    </row>
    <row r="417" spans="1:6" x14ac:dyDescent="0.35">
      <c r="A417" s="130">
        <v>42844</v>
      </c>
      <c r="B417" s="24" t="s">
        <v>555</v>
      </c>
      <c r="C417" s="24" t="s">
        <v>245</v>
      </c>
      <c r="D417" s="24" t="s">
        <v>442</v>
      </c>
      <c r="E417" s="24">
        <v>4189</v>
      </c>
      <c r="F417" s="24">
        <v>324851</v>
      </c>
    </row>
    <row r="418" spans="1:6" x14ac:dyDescent="0.35">
      <c r="A418" s="130">
        <v>42845</v>
      </c>
      <c r="B418" s="24" t="s">
        <v>555</v>
      </c>
      <c r="C418" s="24" t="s">
        <v>245</v>
      </c>
      <c r="D418" s="24" t="s">
        <v>442</v>
      </c>
      <c r="E418" s="24">
        <v>4894</v>
      </c>
      <c r="F418" s="24">
        <v>324875</v>
      </c>
    </row>
    <row r="419" spans="1:6" x14ac:dyDescent="0.35">
      <c r="A419" s="130">
        <v>42846</v>
      </c>
      <c r="B419" s="24" t="s">
        <v>556</v>
      </c>
      <c r="C419" s="24" t="s">
        <v>245</v>
      </c>
      <c r="D419" s="24" t="s">
        <v>442</v>
      </c>
      <c r="E419" s="24">
        <v>3866</v>
      </c>
      <c r="F419" s="24">
        <v>324883</v>
      </c>
    </row>
    <row r="420" spans="1:6" x14ac:dyDescent="0.35">
      <c r="A420" s="130">
        <v>42847</v>
      </c>
      <c r="B420" s="24" t="s">
        <v>557</v>
      </c>
      <c r="C420" s="24" t="s">
        <v>245</v>
      </c>
      <c r="D420" s="24" t="s">
        <v>442</v>
      </c>
      <c r="E420" s="24">
        <v>2813</v>
      </c>
      <c r="F420" s="24">
        <v>324889</v>
      </c>
    </row>
    <row r="421" spans="1:6" x14ac:dyDescent="0.35">
      <c r="A421" s="130">
        <v>42848</v>
      </c>
      <c r="B421" s="24" t="s">
        <v>558</v>
      </c>
      <c r="C421" s="24" t="s">
        <v>245</v>
      </c>
      <c r="D421" s="24" t="s">
        <v>442</v>
      </c>
      <c r="E421" s="24">
        <v>2511</v>
      </c>
      <c r="F421" s="24">
        <v>324890</v>
      </c>
    </row>
    <row r="422" spans="1:6" x14ac:dyDescent="0.35">
      <c r="A422" s="130">
        <v>42849</v>
      </c>
      <c r="B422" s="24" t="s">
        <v>558</v>
      </c>
      <c r="C422" s="24" t="s">
        <v>245</v>
      </c>
      <c r="D422" s="24" t="s">
        <v>442</v>
      </c>
      <c r="E422" s="24">
        <v>3634</v>
      </c>
      <c r="F422" s="24">
        <v>324918</v>
      </c>
    </row>
    <row r="423" spans="1:6" x14ac:dyDescent="0.35">
      <c r="A423" s="130">
        <v>42850</v>
      </c>
      <c r="B423" s="24" t="s">
        <v>559</v>
      </c>
      <c r="C423" s="24" t="s">
        <v>245</v>
      </c>
      <c r="D423" s="24" t="s">
        <v>442</v>
      </c>
      <c r="E423" s="24">
        <v>4773</v>
      </c>
      <c r="F423" s="24">
        <v>356503</v>
      </c>
    </row>
    <row r="424" spans="1:6" x14ac:dyDescent="0.35">
      <c r="A424" s="130">
        <v>42851</v>
      </c>
      <c r="B424" s="24" t="s">
        <v>560</v>
      </c>
      <c r="C424" s="24" t="s">
        <v>245</v>
      </c>
      <c r="D424" s="24" t="s">
        <v>442</v>
      </c>
      <c r="E424" s="24">
        <v>4852</v>
      </c>
      <c r="F424" s="24">
        <v>356512</v>
      </c>
    </row>
    <row r="425" spans="1:6" x14ac:dyDescent="0.35">
      <c r="A425" s="130">
        <v>42852</v>
      </c>
      <c r="B425" s="24" t="s">
        <v>561</v>
      </c>
      <c r="C425" s="24" t="s">
        <v>245</v>
      </c>
      <c r="D425" s="24" t="s">
        <v>442</v>
      </c>
      <c r="E425" s="24">
        <v>1351</v>
      </c>
      <c r="F425" s="24">
        <v>356523</v>
      </c>
    </row>
    <row r="426" spans="1:6" x14ac:dyDescent="0.35">
      <c r="A426" s="130">
        <v>42853</v>
      </c>
      <c r="B426" s="24" t="s">
        <v>562</v>
      </c>
      <c r="C426" s="24" t="s">
        <v>245</v>
      </c>
      <c r="D426" s="24" t="s">
        <v>442</v>
      </c>
      <c r="E426" s="24">
        <v>2076</v>
      </c>
      <c r="F426" s="24">
        <v>356532</v>
      </c>
    </row>
    <row r="427" spans="1:6" x14ac:dyDescent="0.35">
      <c r="A427" s="130">
        <v>42854</v>
      </c>
      <c r="B427" s="24" t="s">
        <v>562</v>
      </c>
      <c r="C427" s="24" t="s">
        <v>245</v>
      </c>
      <c r="D427" s="24" t="s">
        <v>442</v>
      </c>
      <c r="E427" s="24">
        <v>1780</v>
      </c>
      <c r="F427" s="24">
        <v>356547</v>
      </c>
    </row>
    <row r="428" spans="1:6" x14ac:dyDescent="0.35">
      <c r="A428" s="130">
        <v>42855</v>
      </c>
      <c r="B428" s="24" t="s">
        <v>563</v>
      </c>
      <c r="C428" s="24" t="s">
        <v>245</v>
      </c>
      <c r="D428" s="24" t="s">
        <v>442</v>
      </c>
      <c r="E428" s="24">
        <v>1522</v>
      </c>
      <c r="F428" s="24">
        <v>356588</v>
      </c>
    </row>
    <row r="429" spans="1:6" x14ac:dyDescent="0.35">
      <c r="A429" s="130">
        <v>42856</v>
      </c>
      <c r="B429" s="24" t="s">
        <v>564</v>
      </c>
      <c r="C429" s="24" t="s">
        <v>245</v>
      </c>
      <c r="D429" s="24" t="s">
        <v>442</v>
      </c>
      <c r="E429" s="24">
        <v>2896</v>
      </c>
      <c r="F429" s="24">
        <v>356592</v>
      </c>
    </row>
    <row r="430" spans="1:6" x14ac:dyDescent="0.35">
      <c r="A430" s="130">
        <v>42857</v>
      </c>
      <c r="B430" s="24" t="s">
        <v>564</v>
      </c>
      <c r="C430" s="24" t="s">
        <v>245</v>
      </c>
      <c r="D430" s="24" t="s">
        <v>442</v>
      </c>
      <c r="E430" s="24">
        <v>4948</v>
      </c>
      <c r="F430" s="24">
        <v>356623</v>
      </c>
    </row>
    <row r="431" spans="1:6" x14ac:dyDescent="0.35">
      <c r="A431" s="130">
        <v>42858</v>
      </c>
      <c r="B431" s="24" t="s">
        <v>565</v>
      </c>
      <c r="C431" s="24" t="s">
        <v>245</v>
      </c>
      <c r="D431" s="24" t="s">
        <v>442</v>
      </c>
      <c r="E431" s="24">
        <v>1800</v>
      </c>
      <c r="F431" s="24">
        <v>356631</v>
      </c>
    </row>
    <row r="432" spans="1:6" x14ac:dyDescent="0.35">
      <c r="A432" s="130">
        <v>42859</v>
      </c>
      <c r="B432" s="24" t="s">
        <v>565</v>
      </c>
      <c r="C432" s="24" t="s">
        <v>245</v>
      </c>
      <c r="D432" s="24" t="s">
        <v>442</v>
      </c>
      <c r="E432" s="24">
        <v>4171</v>
      </c>
      <c r="F432" s="24">
        <v>356608</v>
      </c>
    </row>
    <row r="433" spans="1:6" x14ac:dyDescent="0.35">
      <c r="A433" s="130">
        <v>42860</v>
      </c>
      <c r="B433" s="24" t="s">
        <v>566</v>
      </c>
      <c r="C433" s="24" t="s">
        <v>245</v>
      </c>
      <c r="D433" s="24" t="s">
        <v>442</v>
      </c>
      <c r="E433" s="24">
        <v>1863</v>
      </c>
      <c r="F433" s="24">
        <v>356617</v>
      </c>
    </row>
    <row r="434" spans="1:6" x14ac:dyDescent="0.35">
      <c r="A434" s="130">
        <v>42861</v>
      </c>
      <c r="B434" s="24" t="s">
        <v>567</v>
      </c>
      <c r="C434" s="24" t="s">
        <v>245</v>
      </c>
      <c r="D434" s="24" t="s">
        <v>568</v>
      </c>
      <c r="E434" s="24">
        <v>1309</v>
      </c>
      <c r="F434" s="24">
        <v>328614</v>
      </c>
    </row>
    <row r="435" spans="1:6" x14ac:dyDescent="0.35">
      <c r="A435" s="130">
        <v>42862</v>
      </c>
      <c r="B435" s="24" t="s">
        <v>569</v>
      </c>
      <c r="C435" s="24" t="s">
        <v>245</v>
      </c>
      <c r="D435" s="24" t="s">
        <v>568</v>
      </c>
      <c r="E435" s="24">
        <v>2558</v>
      </c>
      <c r="F435" s="24">
        <v>328656</v>
      </c>
    </row>
    <row r="436" spans="1:6" x14ac:dyDescent="0.35">
      <c r="A436" s="130">
        <v>42863</v>
      </c>
      <c r="B436" s="24" t="s">
        <v>570</v>
      </c>
      <c r="C436" s="24" t="s">
        <v>245</v>
      </c>
      <c r="D436" s="24" t="s">
        <v>568</v>
      </c>
      <c r="E436" s="24">
        <v>1548</v>
      </c>
      <c r="F436" s="24">
        <v>328832</v>
      </c>
    </row>
    <row r="437" spans="1:6" x14ac:dyDescent="0.35">
      <c r="A437" s="130">
        <v>42864</v>
      </c>
      <c r="B437" s="24" t="s">
        <v>571</v>
      </c>
      <c r="C437" s="24" t="s">
        <v>245</v>
      </c>
      <c r="D437" s="24" t="s">
        <v>568</v>
      </c>
      <c r="E437" s="24">
        <v>2747</v>
      </c>
      <c r="F437" s="24">
        <v>328834</v>
      </c>
    </row>
    <row r="438" spans="1:6" x14ac:dyDescent="0.35">
      <c r="A438" s="130">
        <v>42865</v>
      </c>
      <c r="B438" s="24" t="s">
        <v>572</v>
      </c>
      <c r="C438" s="24" t="s">
        <v>245</v>
      </c>
      <c r="D438" s="24" t="s">
        <v>568</v>
      </c>
      <c r="E438" s="24">
        <v>2730</v>
      </c>
      <c r="F438" s="24">
        <v>328867</v>
      </c>
    </row>
    <row r="439" spans="1:6" x14ac:dyDescent="0.35">
      <c r="A439" s="130">
        <v>42866</v>
      </c>
      <c r="B439" s="24" t="s">
        <v>573</v>
      </c>
      <c r="C439" s="24" t="s">
        <v>245</v>
      </c>
      <c r="D439" s="24" t="s">
        <v>568</v>
      </c>
      <c r="E439" s="24">
        <v>3391</v>
      </c>
      <c r="F439" s="24">
        <v>328879</v>
      </c>
    </row>
    <row r="440" spans="1:6" x14ac:dyDescent="0.35">
      <c r="A440" s="130">
        <v>42867</v>
      </c>
      <c r="B440" s="24" t="s">
        <v>574</v>
      </c>
      <c r="C440" s="24" t="s">
        <v>245</v>
      </c>
      <c r="D440" s="24" t="s">
        <v>568</v>
      </c>
      <c r="E440" s="24">
        <v>3055</v>
      </c>
      <c r="F440" s="24">
        <v>328883</v>
      </c>
    </row>
    <row r="441" spans="1:6" x14ac:dyDescent="0.35">
      <c r="A441" s="130">
        <v>42868</v>
      </c>
      <c r="B441" s="24" t="s">
        <v>575</v>
      </c>
      <c r="C441" s="24" t="s">
        <v>245</v>
      </c>
      <c r="D441" s="24" t="s">
        <v>576</v>
      </c>
      <c r="E441" s="24">
        <v>1827</v>
      </c>
      <c r="F441" s="24">
        <v>328667</v>
      </c>
    </row>
    <row r="442" spans="1:6" x14ac:dyDescent="0.35">
      <c r="A442" s="130">
        <v>42869</v>
      </c>
      <c r="B442" s="24" t="s">
        <v>575</v>
      </c>
      <c r="C442" s="24" t="s">
        <v>245</v>
      </c>
      <c r="D442" s="24" t="s">
        <v>576</v>
      </c>
      <c r="E442" s="24">
        <v>4196</v>
      </c>
      <c r="F442" s="24">
        <v>328810</v>
      </c>
    </row>
    <row r="443" spans="1:6" x14ac:dyDescent="0.35">
      <c r="A443" s="130">
        <v>42870</v>
      </c>
      <c r="B443" s="24" t="s">
        <v>577</v>
      </c>
      <c r="C443" s="24" t="s">
        <v>245</v>
      </c>
      <c r="D443" s="24" t="s">
        <v>576</v>
      </c>
      <c r="E443" s="24">
        <v>3310</v>
      </c>
      <c r="F443" s="24">
        <v>312575</v>
      </c>
    </row>
    <row r="444" spans="1:6" x14ac:dyDescent="0.35">
      <c r="A444" s="130">
        <v>42871</v>
      </c>
      <c r="B444" s="24" t="s">
        <v>578</v>
      </c>
      <c r="C444" s="24" t="s">
        <v>245</v>
      </c>
      <c r="D444" s="24" t="s">
        <v>576</v>
      </c>
      <c r="E444" s="24">
        <v>3965</v>
      </c>
      <c r="F444" s="24">
        <v>312608</v>
      </c>
    </row>
    <row r="445" spans="1:6" x14ac:dyDescent="0.35">
      <c r="A445" s="130">
        <v>42872</v>
      </c>
      <c r="B445" s="24" t="s">
        <v>579</v>
      </c>
      <c r="C445" s="24" t="s">
        <v>245</v>
      </c>
      <c r="D445" s="24" t="s">
        <v>576</v>
      </c>
      <c r="E445" s="24">
        <v>4537</v>
      </c>
      <c r="F445" s="24">
        <v>312617</v>
      </c>
    </row>
    <row r="446" spans="1:6" x14ac:dyDescent="0.35">
      <c r="A446" s="130">
        <v>42873</v>
      </c>
      <c r="B446" s="24" t="s">
        <v>580</v>
      </c>
      <c r="C446" s="24" t="s">
        <v>245</v>
      </c>
      <c r="D446" s="24" t="s">
        <v>576</v>
      </c>
      <c r="E446" s="24">
        <v>4121</v>
      </c>
      <c r="F446" s="24">
        <v>312505</v>
      </c>
    </row>
    <row r="447" spans="1:6" x14ac:dyDescent="0.35">
      <c r="A447" s="130">
        <v>42874</v>
      </c>
      <c r="B447" s="24" t="s">
        <v>580</v>
      </c>
      <c r="C447" s="24" t="s">
        <v>245</v>
      </c>
      <c r="D447" s="24" t="s">
        <v>576</v>
      </c>
      <c r="E447" s="24">
        <v>2287</v>
      </c>
      <c r="F447" s="24">
        <v>312656</v>
      </c>
    </row>
    <row r="448" spans="1:6" x14ac:dyDescent="0.35">
      <c r="A448" s="130">
        <v>42875</v>
      </c>
      <c r="B448" s="24" t="s">
        <v>581</v>
      </c>
      <c r="C448" s="24" t="s">
        <v>245</v>
      </c>
      <c r="D448" s="24" t="s">
        <v>576</v>
      </c>
      <c r="E448" s="24">
        <v>2022</v>
      </c>
      <c r="F448" s="24">
        <v>316505</v>
      </c>
    </row>
    <row r="449" spans="1:6" x14ac:dyDescent="0.35">
      <c r="A449" s="130">
        <v>42876</v>
      </c>
      <c r="B449" s="24" t="s">
        <v>581</v>
      </c>
      <c r="C449" s="24" t="s">
        <v>245</v>
      </c>
      <c r="D449" s="24" t="s">
        <v>576</v>
      </c>
      <c r="E449" s="24">
        <v>4716</v>
      </c>
      <c r="F449" s="24">
        <v>316522</v>
      </c>
    </row>
    <row r="450" spans="1:6" x14ac:dyDescent="0.35">
      <c r="A450" s="130">
        <v>42877</v>
      </c>
      <c r="B450" s="24" t="s">
        <v>582</v>
      </c>
      <c r="C450" s="24" t="s">
        <v>245</v>
      </c>
      <c r="D450" s="24" t="s">
        <v>576</v>
      </c>
      <c r="E450" s="24">
        <v>1857</v>
      </c>
      <c r="F450" s="24">
        <v>316561</v>
      </c>
    </row>
    <row r="451" spans="1:6" x14ac:dyDescent="0.35">
      <c r="A451" s="130">
        <v>42878</v>
      </c>
      <c r="B451" s="24" t="s">
        <v>583</v>
      </c>
      <c r="C451" s="24" t="s">
        <v>245</v>
      </c>
      <c r="D451" s="24" t="s">
        <v>576</v>
      </c>
      <c r="E451" s="24">
        <v>3130</v>
      </c>
      <c r="F451" s="24">
        <v>316562</v>
      </c>
    </row>
    <row r="452" spans="1:6" x14ac:dyDescent="0.35">
      <c r="A452" s="130">
        <v>42879</v>
      </c>
      <c r="B452" s="24" t="s">
        <v>583</v>
      </c>
      <c r="C452" s="24" t="s">
        <v>245</v>
      </c>
      <c r="D452" s="24" t="s">
        <v>576</v>
      </c>
      <c r="E452" s="24">
        <v>3328</v>
      </c>
      <c r="F452" s="24">
        <v>316573</v>
      </c>
    </row>
    <row r="453" spans="1:6" x14ac:dyDescent="0.35">
      <c r="A453" s="130">
        <v>42880</v>
      </c>
      <c r="B453" s="24" t="s">
        <v>584</v>
      </c>
      <c r="C453" s="24" t="s">
        <v>245</v>
      </c>
      <c r="D453" s="24" t="s">
        <v>576</v>
      </c>
      <c r="E453" s="24">
        <v>2377</v>
      </c>
      <c r="F453" s="24">
        <v>356531</v>
      </c>
    </row>
    <row r="454" spans="1:6" x14ac:dyDescent="0.35">
      <c r="A454" s="130">
        <v>42881</v>
      </c>
      <c r="B454" s="24" t="s">
        <v>584</v>
      </c>
      <c r="C454" s="24" t="s">
        <v>245</v>
      </c>
      <c r="D454" s="24" t="s">
        <v>576</v>
      </c>
      <c r="E454" s="24">
        <v>3394</v>
      </c>
      <c r="F454" s="24">
        <v>324587</v>
      </c>
    </row>
    <row r="455" spans="1:6" x14ac:dyDescent="0.35">
      <c r="A455" s="130">
        <v>42882</v>
      </c>
      <c r="B455" s="24" t="s">
        <v>585</v>
      </c>
      <c r="C455" s="24" t="s">
        <v>245</v>
      </c>
      <c r="D455" s="24" t="s">
        <v>576</v>
      </c>
      <c r="E455" s="24">
        <v>1829</v>
      </c>
      <c r="F455" s="24">
        <v>324828</v>
      </c>
    </row>
    <row r="456" spans="1:6" x14ac:dyDescent="0.35">
      <c r="A456" s="130">
        <v>42883</v>
      </c>
      <c r="B456" s="24" t="s">
        <v>585</v>
      </c>
      <c r="C456" s="24" t="s">
        <v>245</v>
      </c>
      <c r="D456" s="24" t="s">
        <v>576</v>
      </c>
      <c r="E456" s="24">
        <v>4025</v>
      </c>
      <c r="F456" s="24">
        <v>324943</v>
      </c>
    </row>
    <row r="457" spans="1:6" x14ac:dyDescent="0.35">
      <c r="A457" s="130">
        <v>42884</v>
      </c>
      <c r="B457" s="24" t="s">
        <v>586</v>
      </c>
      <c r="C457" s="24" t="s">
        <v>245</v>
      </c>
      <c r="D457" s="24" t="s">
        <v>576</v>
      </c>
      <c r="E457" s="24">
        <v>1126</v>
      </c>
      <c r="F457" s="24">
        <v>320530</v>
      </c>
    </row>
    <row r="458" spans="1:6" x14ac:dyDescent="0.35">
      <c r="A458" s="130">
        <v>42885</v>
      </c>
      <c r="B458" s="24" t="s">
        <v>586</v>
      </c>
      <c r="C458" s="24" t="s">
        <v>245</v>
      </c>
      <c r="D458" s="24" t="s">
        <v>576</v>
      </c>
      <c r="E458" s="24">
        <v>3822</v>
      </c>
      <c r="F458" s="24">
        <v>320536</v>
      </c>
    </row>
    <row r="459" spans="1:6" x14ac:dyDescent="0.35">
      <c r="A459" s="130">
        <v>42886</v>
      </c>
      <c r="B459" s="24" t="s">
        <v>587</v>
      </c>
      <c r="C459" s="24" t="s">
        <v>245</v>
      </c>
      <c r="D459" s="24" t="s">
        <v>576</v>
      </c>
      <c r="E459" s="24">
        <v>2593</v>
      </c>
      <c r="F459" s="24">
        <v>320616</v>
      </c>
    </row>
    <row r="460" spans="1:6" x14ac:dyDescent="0.35">
      <c r="A460" s="130">
        <v>42887</v>
      </c>
      <c r="B460" s="24" t="s">
        <v>587</v>
      </c>
      <c r="C460" s="24" t="s">
        <v>245</v>
      </c>
      <c r="D460" s="24" t="s">
        <v>576</v>
      </c>
      <c r="E460" s="24">
        <v>4513</v>
      </c>
      <c r="F460" s="24">
        <v>320617</v>
      </c>
    </row>
    <row r="461" spans="1:6" x14ac:dyDescent="0.35">
      <c r="A461" s="130">
        <v>42888</v>
      </c>
      <c r="B461" s="24" t="s">
        <v>588</v>
      </c>
      <c r="C461" s="24" t="s">
        <v>245</v>
      </c>
      <c r="D461" s="24" t="s">
        <v>576</v>
      </c>
      <c r="E461" s="24">
        <v>2579</v>
      </c>
      <c r="F461" s="24">
        <v>320618</v>
      </c>
    </row>
    <row r="462" spans="1:6" x14ac:dyDescent="0.35">
      <c r="A462" s="130">
        <v>42889</v>
      </c>
      <c r="B462" s="24" t="s">
        <v>589</v>
      </c>
      <c r="C462" s="24" t="s">
        <v>245</v>
      </c>
      <c r="D462" s="24" t="s">
        <v>576</v>
      </c>
      <c r="E462" s="24">
        <v>4545</v>
      </c>
      <c r="F462" s="24">
        <v>320619</v>
      </c>
    </row>
    <row r="463" spans="1:6" x14ac:dyDescent="0.35">
      <c r="A463" s="130">
        <v>42890</v>
      </c>
      <c r="B463" s="24" t="s">
        <v>590</v>
      </c>
      <c r="C463" s="24" t="s">
        <v>245</v>
      </c>
      <c r="D463" s="24" t="s">
        <v>576</v>
      </c>
      <c r="E463" s="24">
        <v>3764</v>
      </c>
      <c r="F463" s="24">
        <v>320620</v>
      </c>
    </row>
    <row r="464" spans="1:6" x14ac:dyDescent="0.35">
      <c r="A464" s="130">
        <v>42891</v>
      </c>
      <c r="B464" s="24" t="s">
        <v>590</v>
      </c>
      <c r="C464" s="24" t="s">
        <v>245</v>
      </c>
      <c r="D464" s="24" t="s">
        <v>576</v>
      </c>
      <c r="E464" s="24">
        <v>3518</v>
      </c>
      <c r="F464" s="24">
        <v>320621</v>
      </c>
    </row>
    <row r="465" spans="1:6" x14ac:dyDescent="0.35">
      <c r="A465" s="130">
        <v>42892</v>
      </c>
      <c r="B465" s="24" t="s">
        <v>591</v>
      </c>
      <c r="C465" s="24" t="s">
        <v>245</v>
      </c>
      <c r="D465" s="24" t="s">
        <v>576</v>
      </c>
      <c r="E465" s="24">
        <v>2622</v>
      </c>
      <c r="F465" s="24">
        <v>320623</v>
      </c>
    </row>
    <row r="466" spans="1:6" x14ac:dyDescent="0.35">
      <c r="A466" s="130">
        <v>42893</v>
      </c>
      <c r="B466" s="24" t="s">
        <v>591</v>
      </c>
      <c r="C466" s="24" t="s">
        <v>245</v>
      </c>
      <c r="D466" s="24" t="s">
        <v>576</v>
      </c>
      <c r="E466" s="24">
        <v>3355</v>
      </c>
      <c r="F466" s="24">
        <v>320624</v>
      </c>
    </row>
    <row r="467" spans="1:6" x14ac:dyDescent="0.35">
      <c r="A467" s="130">
        <v>42894</v>
      </c>
      <c r="B467" s="24" t="s">
        <v>592</v>
      </c>
      <c r="C467" s="24" t="s">
        <v>245</v>
      </c>
      <c r="D467" s="24" t="s">
        <v>576</v>
      </c>
      <c r="E467" s="24">
        <v>2397</v>
      </c>
      <c r="F467" s="24">
        <v>320625</v>
      </c>
    </row>
    <row r="468" spans="1:6" x14ac:dyDescent="0.35">
      <c r="A468" s="130">
        <v>42895</v>
      </c>
      <c r="B468" s="24" t="s">
        <v>592</v>
      </c>
      <c r="C468" s="24" t="s">
        <v>245</v>
      </c>
      <c r="D468" s="24" t="s">
        <v>576</v>
      </c>
      <c r="E468" s="24">
        <v>4061</v>
      </c>
      <c r="F468" s="24">
        <v>320626</v>
      </c>
    </row>
    <row r="469" spans="1:6" x14ac:dyDescent="0.35">
      <c r="A469" s="130">
        <v>42896</v>
      </c>
      <c r="B469" s="24" t="s">
        <v>593</v>
      </c>
      <c r="C469" s="24" t="s">
        <v>245</v>
      </c>
      <c r="D469" s="24" t="s">
        <v>594</v>
      </c>
      <c r="E469" s="24">
        <v>4052</v>
      </c>
      <c r="F469" s="24">
        <v>344590</v>
      </c>
    </row>
    <row r="470" spans="1:6" x14ac:dyDescent="0.35">
      <c r="A470" s="130">
        <v>42897</v>
      </c>
      <c r="B470" s="24" t="s">
        <v>593</v>
      </c>
      <c r="C470" s="24" t="s">
        <v>245</v>
      </c>
      <c r="D470" s="24" t="s">
        <v>594</v>
      </c>
      <c r="E470" s="24">
        <v>3977</v>
      </c>
      <c r="F470" s="24">
        <v>344746</v>
      </c>
    </row>
    <row r="471" spans="1:6" x14ac:dyDescent="0.35">
      <c r="A471" s="130">
        <v>42898</v>
      </c>
      <c r="B471" s="24" t="s">
        <v>593</v>
      </c>
      <c r="C471" s="24" t="s">
        <v>245</v>
      </c>
      <c r="D471" s="24" t="s">
        <v>594</v>
      </c>
      <c r="E471" s="24">
        <v>3161</v>
      </c>
      <c r="F471" s="24">
        <v>304513</v>
      </c>
    </row>
    <row r="472" spans="1:6" x14ac:dyDescent="0.35">
      <c r="A472" s="130">
        <v>42899</v>
      </c>
      <c r="B472" s="24" t="s">
        <v>595</v>
      </c>
      <c r="C472" s="24" t="s">
        <v>245</v>
      </c>
      <c r="D472" s="24" t="s">
        <v>594</v>
      </c>
      <c r="E472" s="24">
        <v>1069</v>
      </c>
      <c r="F472" s="24">
        <v>304524</v>
      </c>
    </row>
    <row r="473" spans="1:6" x14ac:dyDescent="0.35">
      <c r="A473" s="130">
        <v>42900</v>
      </c>
      <c r="B473" s="24" t="s">
        <v>596</v>
      </c>
      <c r="C473" s="24" t="s">
        <v>245</v>
      </c>
      <c r="D473" s="24" t="s">
        <v>594</v>
      </c>
      <c r="E473" s="24">
        <v>3028</v>
      </c>
      <c r="F473" s="24">
        <v>304549</v>
      </c>
    </row>
    <row r="474" spans="1:6" x14ac:dyDescent="0.35">
      <c r="A474" s="130">
        <v>42901</v>
      </c>
      <c r="B474" s="24" t="s">
        <v>597</v>
      </c>
      <c r="C474" s="24" t="s">
        <v>245</v>
      </c>
      <c r="D474" s="24" t="s">
        <v>594</v>
      </c>
      <c r="E474" s="24">
        <v>3942</v>
      </c>
      <c r="F474" s="24">
        <v>312523</v>
      </c>
    </row>
    <row r="475" spans="1:6" x14ac:dyDescent="0.35">
      <c r="A475" s="130">
        <v>42902</v>
      </c>
      <c r="B475" s="24" t="s">
        <v>598</v>
      </c>
      <c r="C475" s="24" t="s">
        <v>245</v>
      </c>
      <c r="D475" s="24" t="s">
        <v>594</v>
      </c>
      <c r="E475" s="24">
        <v>2701</v>
      </c>
      <c r="F475" s="24">
        <v>312568</v>
      </c>
    </row>
    <row r="476" spans="1:6" x14ac:dyDescent="0.35">
      <c r="A476" s="130">
        <v>42903</v>
      </c>
      <c r="B476" s="24" t="s">
        <v>599</v>
      </c>
      <c r="C476" s="24" t="s">
        <v>245</v>
      </c>
      <c r="D476" s="24" t="s">
        <v>594</v>
      </c>
      <c r="E476" s="24">
        <v>4163</v>
      </c>
      <c r="F476" s="24">
        <v>356562</v>
      </c>
    </row>
    <row r="477" spans="1:6" x14ac:dyDescent="0.35">
      <c r="A477" s="130">
        <v>42904</v>
      </c>
      <c r="B477" s="24" t="s">
        <v>600</v>
      </c>
      <c r="C477" s="24" t="s">
        <v>245</v>
      </c>
      <c r="D477" s="24" t="s">
        <v>594</v>
      </c>
      <c r="E477" s="24">
        <v>3771</v>
      </c>
      <c r="F477" s="24">
        <v>356622</v>
      </c>
    </row>
    <row r="478" spans="1:6" x14ac:dyDescent="0.35">
      <c r="A478" s="130">
        <v>42905</v>
      </c>
      <c r="B478" s="24" t="s">
        <v>601</v>
      </c>
      <c r="C478" s="24" t="s">
        <v>245</v>
      </c>
      <c r="D478" s="24" t="s">
        <v>594</v>
      </c>
      <c r="E478" s="24">
        <v>4082</v>
      </c>
      <c r="F478" s="24">
        <v>320516</v>
      </c>
    </row>
    <row r="479" spans="1:6" x14ac:dyDescent="0.35">
      <c r="A479" s="130">
        <v>42906</v>
      </c>
      <c r="B479" s="24" t="s">
        <v>602</v>
      </c>
      <c r="C479" s="24" t="s">
        <v>245</v>
      </c>
      <c r="D479" s="24" t="s">
        <v>594</v>
      </c>
      <c r="E479" s="24">
        <v>4729</v>
      </c>
      <c r="F479" s="24">
        <v>320594</v>
      </c>
    </row>
    <row r="480" spans="1:6" x14ac:dyDescent="0.35">
      <c r="A480" s="130">
        <v>42907</v>
      </c>
      <c r="B480" s="24" t="s">
        <v>603</v>
      </c>
      <c r="C480" s="24" t="s">
        <v>245</v>
      </c>
      <c r="D480" s="24" t="s">
        <v>594</v>
      </c>
      <c r="E480" s="24">
        <v>2934</v>
      </c>
      <c r="F480" s="24">
        <v>320622</v>
      </c>
    </row>
    <row r="481" spans="1:6" x14ac:dyDescent="0.35">
      <c r="A481" s="130">
        <v>42908</v>
      </c>
      <c r="B481" s="24" t="s">
        <v>604</v>
      </c>
      <c r="C481" s="24" t="s">
        <v>245</v>
      </c>
      <c r="D481" s="24" t="s">
        <v>594</v>
      </c>
      <c r="E481" s="24">
        <v>4726</v>
      </c>
      <c r="F481" s="24">
        <v>320540</v>
      </c>
    </row>
    <row r="482" spans="1:6" x14ac:dyDescent="0.35">
      <c r="A482" s="130">
        <v>42909</v>
      </c>
      <c r="B482" s="24" t="s">
        <v>604</v>
      </c>
      <c r="C482" s="24" t="s">
        <v>245</v>
      </c>
      <c r="D482" s="24" t="s">
        <v>594</v>
      </c>
      <c r="E482" s="24">
        <v>2199</v>
      </c>
      <c r="F482" s="24">
        <v>304536</v>
      </c>
    </row>
    <row r="483" spans="1:6" x14ac:dyDescent="0.35">
      <c r="A483" s="130">
        <v>42910</v>
      </c>
      <c r="B483" s="24" t="s">
        <v>605</v>
      </c>
      <c r="C483" s="24" t="s">
        <v>245</v>
      </c>
      <c r="D483" s="24" t="s">
        <v>594</v>
      </c>
      <c r="E483" s="24">
        <v>3221</v>
      </c>
      <c r="F483" s="24">
        <v>304545</v>
      </c>
    </row>
    <row r="484" spans="1:6" x14ac:dyDescent="0.35">
      <c r="A484" s="130">
        <v>42911</v>
      </c>
      <c r="B484" s="24" t="s">
        <v>605</v>
      </c>
      <c r="C484" s="24" t="s">
        <v>245</v>
      </c>
      <c r="D484" s="24" t="s">
        <v>594</v>
      </c>
      <c r="E484" s="24">
        <v>2162</v>
      </c>
      <c r="F484" s="24">
        <v>328533</v>
      </c>
    </row>
    <row r="485" spans="1:6" x14ac:dyDescent="0.35">
      <c r="A485" s="130">
        <v>42912</v>
      </c>
      <c r="B485" s="24" t="s">
        <v>606</v>
      </c>
      <c r="C485" s="24" t="s">
        <v>245</v>
      </c>
      <c r="D485" s="24" t="s">
        <v>594</v>
      </c>
      <c r="E485" s="24">
        <v>3559</v>
      </c>
      <c r="F485" s="24">
        <v>328618</v>
      </c>
    </row>
    <row r="486" spans="1:6" x14ac:dyDescent="0.35">
      <c r="A486" s="130">
        <v>42913</v>
      </c>
      <c r="B486" s="24" t="s">
        <v>607</v>
      </c>
      <c r="C486" s="24" t="s">
        <v>245</v>
      </c>
      <c r="D486" s="24" t="s">
        <v>608</v>
      </c>
      <c r="E486" s="24">
        <v>2646</v>
      </c>
      <c r="F486" s="24">
        <v>316559</v>
      </c>
    </row>
    <row r="487" spans="1:6" x14ac:dyDescent="0.35">
      <c r="A487" s="130">
        <v>42914</v>
      </c>
      <c r="B487" s="24" t="s">
        <v>609</v>
      </c>
      <c r="C487" s="24" t="s">
        <v>245</v>
      </c>
      <c r="D487" s="24" t="s">
        <v>608</v>
      </c>
      <c r="E487" s="24">
        <v>4429</v>
      </c>
      <c r="F487" s="24">
        <v>304560</v>
      </c>
    </row>
    <row r="488" spans="1:6" x14ac:dyDescent="0.35">
      <c r="A488" s="130">
        <v>42915</v>
      </c>
      <c r="B488" s="24" t="s">
        <v>610</v>
      </c>
      <c r="C488" s="24" t="s">
        <v>245</v>
      </c>
      <c r="D488" s="24" t="s">
        <v>608</v>
      </c>
      <c r="E488" s="24">
        <v>4172</v>
      </c>
      <c r="F488" s="24">
        <v>312658</v>
      </c>
    </row>
    <row r="489" spans="1:6" x14ac:dyDescent="0.35">
      <c r="A489" s="130">
        <v>42916</v>
      </c>
      <c r="B489" s="24" t="s">
        <v>611</v>
      </c>
      <c r="C489" s="24" t="s">
        <v>245</v>
      </c>
      <c r="D489" s="24" t="s">
        <v>608</v>
      </c>
      <c r="E489" s="24">
        <v>4223</v>
      </c>
      <c r="F489" s="24">
        <v>328860</v>
      </c>
    </row>
    <row r="490" spans="1:6" x14ac:dyDescent="0.35">
      <c r="A490" s="130">
        <v>42917</v>
      </c>
      <c r="B490" s="24" t="s">
        <v>612</v>
      </c>
      <c r="C490" s="24" t="s">
        <v>245</v>
      </c>
      <c r="D490" s="24" t="s">
        <v>608</v>
      </c>
      <c r="E490" s="24">
        <v>3417</v>
      </c>
      <c r="F490" s="24">
        <v>300529</v>
      </c>
    </row>
    <row r="491" spans="1:6" x14ac:dyDescent="0.35">
      <c r="A491" s="130">
        <v>42918</v>
      </c>
      <c r="B491" s="24" t="s">
        <v>613</v>
      </c>
      <c r="C491" s="24" t="s">
        <v>245</v>
      </c>
      <c r="D491" s="24" t="s">
        <v>608</v>
      </c>
      <c r="E491" s="24">
        <v>1054</v>
      </c>
      <c r="F491" s="24">
        <v>300540</v>
      </c>
    </row>
    <row r="492" spans="1:6" x14ac:dyDescent="0.35">
      <c r="A492" s="130">
        <v>42919</v>
      </c>
      <c r="B492" s="24" t="s">
        <v>614</v>
      </c>
      <c r="C492" s="24" t="s">
        <v>245</v>
      </c>
      <c r="D492" s="24" t="s">
        <v>608</v>
      </c>
      <c r="E492" s="24">
        <v>1586</v>
      </c>
      <c r="F492" s="24">
        <v>300541</v>
      </c>
    </row>
    <row r="493" spans="1:6" x14ac:dyDescent="0.35">
      <c r="A493" s="130">
        <v>42920</v>
      </c>
      <c r="B493" s="24" t="s">
        <v>615</v>
      </c>
      <c r="C493" s="24" t="s">
        <v>245</v>
      </c>
      <c r="D493" s="24" t="s">
        <v>608</v>
      </c>
      <c r="E493" s="24">
        <v>3825</v>
      </c>
      <c r="F493" s="24">
        <v>300543</v>
      </c>
    </row>
    <row r="494" spans="1:6" x14ac:dyDescent="0.35">
      <c r="A494" s="130">
        <v>42921</v>
      </c>
      <c r="B494" s="24" t="s">
        <v>580</v>
      </c>
      <c r="C494" s="24" t="s">
        <v>245</v>
      </c>
      <c r="D494" s="24" t="s">
        <v>576</v>
      </c>
      <c r="E494" s="24">
        <v>3024</v>
      </c>
      <c r="F494" s="24">
        <v>300548</v>
      </c>
    </row>
    <row r="495" spans="1:6" x14ac:dyDescent="0.35">
      <c r="A495" s="130">
        <v>42922</v>
      </c>
      <c r="B495" s="24" t="s">
        <v>616</v>
      </c>
      <c r="C495" s="24" t="s">
        <v>245</v>
      </c>
      <c r="D495" s="24" t="s">
        <v>576</v>
      </c>
      <c r="E495" s="24">
        <v>2701</v>
      </c>
      <c r="F495" s="24">
        <v>300596</v>
      </c>
    </row>
    <row r="496" spans="1:6" x14ac:dyDescent="0.35">
      <c r="A496" s="130">
        <v>42923</v>
      </c>
      <c r="B496" s="24" t="s">
        <v>582</v>
      </c>
      <c r="C496" s="24" t="s">
        <v>245</v>
      </c>
      <c r="D496" s="24" t="s">
        <v>576</v>
      </c>
      <c r="E496" s="24">
        <v>1682</v>
      </c>
      <c r="F496" s="24">
        <v>300600</v>
      </c>
    </row>
    <row r="497" spans="1:6" x14ac:dyDescent="0.35">
      <c r="A497" s="130">
        <v>42924</v>
      </c>
      <c r="B497" s="24" t="s">
        <v>584</v>
      </c>
      <c r="C497" s="24" t="s">
        <v>245</v>
      </c>
      <c r="D497" s="24" t="s">
        <v>576</v>
      </c>
      <c r="E497" s="24">
        <v>3914</v>
      </c>
      <c r="F497" s="24">
        <v>300604</v>
      </c>
    </row>
    <row r="498" spans="1:6" x14ac:dyDescent="0.35">
      <c r="A498" s="130">
        <v>42925</v>
      </c>
      <c r="B498" s="24" t="s">
        <v>584</v>
      </c>
      <c r="C498" s="24" t="s">
        <v>245</v>
      </c>
      <c r="D498" s="24" t="s">
        <v>576</v>
      </c>
      <c r="E498" s="24">
        <v>1630</v>
      </c>
      <c r="F498" s="24">
        <v>300611</v>
      </c>
    </row>
    <row r="499" spans="1:6" x14ac:dyDescent="0.35">
      <c r="A499" s="130">
        <v>42926</v>
      </c>
      <c r="B499" s="24" t="s">
        <v>617</v>
      </c>
      <c r="C499" s="24" t="s">
        <v>245</v>
      </c>
      <c r="D499" s="24" t="s">
        <v>576</v>
      </c>
      <c r="E499" s="24">
        <v>2160</v>
      </c>
      <c r="F499" s="24">
        <v>300620</v>
      </c>
    </row>
    <row r="500" spans="1:6" x14ac:dyDescent="0.35">
      <c r="A500" s="130">
        <v>42927</v>
      </c>
      <c r="B500" s="24" t="s">
        <v>588</v>
      </c>
      <c r="C500" s="24" t="s">
        <v>245</v>
      </c>
      <c r="D500" s="24" t="s">
        <v>576</v>
      </c>
      <c r="E500" s="24">
        <v>4420</v>
      </c>
      <c r="F500" s="24">
        <v>300634</v>
      </c>
    </row>
    <row r="501" spans="1:6" x14ac:dyDescent="0.35">
      <c r="A501" s="130">
        <v>42928</v>
      </c>
      <c r="B501" s="24" t="s">
        <v>590</v>
      </c>
      <c r="C501" s="24" t="s">
        <v>245</v>
      </c>
      <c r="D501" s="24" t="s">
        <v>576</v>
      </c>
      <c r="E501" s="24">
        <v>4014</v>
      </c>
      <c r="F501" s="24">
        <v>300635</v>
      </c>
    </row>
    <row r="502" spans="1:6" x14ac:dyDescent="0.35">
      <c r="A502" s="130">
        <v>42929</v>
      </c>
      <c r="B502" s="24" t="s">
        <v>592</v>
      </c>
      <c r="C502" s="24" t="s">
        <v>245</v>
      </c>
      <c r="D502" s="24" t="s">
        <v>576</v>
      </c>
      <c r="E502" s="24">
        <v>2677</v>
      </c>
      <c r="F502" s="24">
        <v>300653</v>
      </c>
    </row>
    <row r="503" spans="1:6" x14ac:dyDescent="0.35">
      <c r="A503" s="130">
        <v>42930</v>
      </c>
      <c r="B503" s="24" t="s">
        <v>592</v>
      </c>
      <c r="C503" s="24" t="s">
        <v>245</v>
      </c>
      <c r="D503" s="24" t="s">
        <v>576</v>
      </c>
      <c r="E503" s="24">
        <v>2135</v>
      </c>
      <c r="F503" s="24">
        <v>300665</v>
      </c>
    </row>
    <row r="504" spans="1:6" x14ac:dyDescent="0.35">
      <c r="A504" s="130">
        <v>42931</v>
      </c>
      <c r="B504" s="24" t="s">
        <v>616</v>
      </c>
      <c r="C504" s="24" t="s">
        <v>245</v>
      </c>
      <c r="D504" s="24" t="s">
        <v>576</v>
      </c>
      <c r="E504" s="24">
        <v>1701</v>
      </c>
      <c r="F504" s="24">
        <v>300686</v>
      </c>
    </row>
    <row r="505" spans="1:6" x14ac:dyDescent="0.35">
      <c r="A505" s="130">
        <v>42932</v>
      </c>
      <c r="B505" s="24" t="s">
        <v>618</v>
      </c>
      <c r="C505" s="24" t="s">
        <v>245</v>
      </c>
      <c r="D505" s="24" t="s">
        <v>576</v>
      </c>
      <c r="E505" s="24">
        <v>2163</v>
      </c>
      <c r="F505" s="24">
        <v>300687</v>
      </c>
    </row>
    <row r="506" spans="1:6" x14ac:dyDescent="0.35">
      <c r="A506" s="130">
        <v>42933</v>
      </c>
      <c r="B506" s="24" t="s">
        <v>618</v>
      </c>
      <c r="C506" s="24" t="s">
        <v>245</v>
      </c>
      <c r="D506" s="24" t="s">
        <v>576</v>
      </c>
      <c r="E506" s="24">
        <v>4533</v>
      </c>
      <c r="F506" s="24">
        <v>300700</v>
      </c>
    </row>
    <row r="507" spans="1:6" x14ac:dyDescent="0.35">
      <c r="A507" s="130">
        <v>42934</v>
      </c>
      <c r="B507" s="24" t="s">
        <v>619</v>
      </c>
      <c r="C507" s="24" t="s">
        <v>245</v>
      </c>
      <c r="D507" s="24" t="s">
        <v>576</v>
      </c>
      <c r="E507" s="24">
        <v>2814</v>
      </c>
      <c r="F507" s="24">
        <v>300702</v>
      </c>
    </row>
    <row r="508" spans="1:6" x14ac:dyDescent="0.35">
      <c r="A508" s="130">
        <v>42935</v>
      </c>
      <c r="B508" s="24" t="s">
        <v>581</v>
      </c>
      <c r="C508" s="24" t="s">
        <v>245</v>
      </c>
      <c r="D508" s="24" t="s">
        <v>576</v>
      </c>
      <c r="E508" s="24">
        <v>4548</v>
      </c>
      <c r="F508" s="24">
        <v>300707</v>
      </c>
    </row>
    <row r="509" spans="1:6" x14ac:dyDescent="0.35">
      <c r="A509" s="130">
        <v>42936</v>
      </c>
      <c r="B509" s="24" t="s">
        <v>583</v>
      </c>
      <c r="C509" s="24" t="s">
        <v>245</v>
      </c>
      <c r="D509" s="24" t="s">
        <v>576</v>
      </c>
      <c r="E509" s="24">
        <v>2769</v>
      </c>
      <c r="F509" s="24">
        <v>300721</v>
      </c>
    </row>
    <row r="510" spans="1:6" x14ac:dyDescent="0.35">
      <c r="A510" s="130">
        <v>42937</v>
      </c>
      <c r="B510" s="24" t="s">
        <v>586</v>
      </c>
      <c r="C510" s="24" t="s">
        <v>245</v>
      </c>
      <c r="D510" s="24" t="s">
        <v>576</v>
      </c>
      <c r="E510" s="24">
        <v>1270</v>
      </c>
      <c r="F510" s="24">
        <v>300725</v>
      </c>
    </row>
    <row r="511" spans="1:6" x14ac:dyDescent="0.35">
      <c r="A511" s="130">
        <v>42938</v>
      </c>
      <c r="B511" s="24" t="s">
        <v>590</v>
      </c>
      <c r="C511" s="24" t="s">
        <v>245</v>
      </c>
      <c r="D511" s="24" t="s">
        <v>576</v>
      </c>
      <c r="E511" s="24">
        <v>2777</v>
      </c>
      <c r="F511" s="24">
        <v>300729</v>
      </c>
    </row>
    <row r="512" spans="1:6" x14ac:dyDescent="0.35">
      <c r="A512" s="130">
        <v>42939</v>
      </c>
      <c r="B512" s="24" t="s">
        <v>592</v>
      </c>
      <c r="C512" s="24" t="s">
        <v>245</v>
      </c>
      <c r="D512" s="24" t="s">
        <v>576</v>
      </c>
      <c r="E512" s="24">
        <v>3096</v>
      </c>
      <c r="F512" s="24">
        <v>300757</v>
      </c>
    </row>
    <row r="513" spans="1:6" x14ac:dyDescent="0.35">
      <c r="A513" s="130">
        <v>42940</v>
      </c>
      <c r="B513" s="24" t="s">
        <v>592</v>
      </c>
      <c r="C513" s="24" t="s">
        <v>245</v>
      </c>
      <c r="D513" s="24" t="s">
        <v>576</v>
      </c>
      <c r="E513" s="24">
        <v>3476</v>
      </c>
      <c r="F513" s="24">
        <v>300772</v>
      </c>
    </row>
    <row r="514" spans="1:6" x14ac:dyDescent="0.35">
      <c r="A514" s="130">
        <v>42941</v>
      </c>
      <c r="B514" s="24" t="s">
        <v>620</v>
      </c>
      <c r="C514" s="24" t="s">
        <v>245</v>
      </c>
      <c r="D514" s="24" t="s">
        <v>568</v>
      </c>
      <c r="E514" s="24">
        <v>1688</v>
      </c>
      <c r="F514" s="24">
        <v>300774</v>
      </c>
    </row>
    <row r="515" spans="1:6" x14ac:dyDescent="0.35">
      <c r="A515" s="130">
        <v>42942</v>
      </c>
      <c r="B515" s="24" t="s">
        <v>567</v>
      </c>
      <c r="C515" s="24" t="s">
        <v>245</v>
      </c>
      <c r="D515" s="24" t="s">
        <v>568</v>
      </c>
      <c r="E515" s="24">
        <v>4432</v>
      </c>
      <c r="F515" s="24">
        <v>300777</v>
      </c>
    </row>
    <row r="516" spans="1:6" x14ac:dyDescent="0.35">
      <c r="A516" s="130">
        <v>42943</v>
      </c>
      <c r="B516" s="24" t="s">
        <v>621</v>
      </c>
      <c r="C516" s="24" t="s">
        <v>245</v>
      </c>
      <c r="D516" s="24" t="s">
        <v>568</v>
      </c>
      <c r="E516" s="24">
        <v>1793</v>
      </c>
      <c r="F516" s="24">
        <v>300788</v>
      </c>
    </row>
    <row r="517" spans="1:6" x14ac:dyDescent="0.35">
      <c r="A517" s="130">
        <v>42944</v>
      </c>
      <c r="B517" s="24" t="s">
        <v>569</v>
      </c>
      <c r="C517" s="24" t="s">
        <v>245</v>
      </c>
      <c r="D517" s="24" t="s">
        <v>568</v>
      </c>
      <c r="E517" s="24">
        <v>2398</v>
      </c>
      <c r="F517" s="24">
        <v>300791</v>
      </c>
    </row>
    <row r="518" spans="1:6" x14ac:dyDescent="0.35">
      <c r="A518" s="130">
        <v>42945</v>
      </c>
      <c r="B518" s="24" t="s">
        <v>570</v>
      </c>
      <c r="C518" s="24" t="s">
        <v>245</v>
      </c>
      <c r="D518" s="24" t="s">
        <v>568</v>
      </c>
      <c r="E518" s="24">
        <v>4361</v>
      </c>
      <c r="F518" s="24">
        <v>300793</v>
      </c>
    </row>
    <row r="519" spans="1:6" x14ac:dyDescent="0.35">
      <c r="A519" s="130">
        <v>42946</v>
      </c>
      <c r="B519" s="24" t="s">
        <v>622</v>
      </c>
      <c r="C519" s="24" t="s">
        <v>245</v>
      </c>
      <c r="D519" s="24" t="s">
        <v>568</v>
      </c>
      <c r="E519" s="24">
        <v>1717</v>
      </c>
      <c r="F519" s="24">
        <v>300802</v>
      </c>
    </row>
    <row r="520" spans="1:6" x14ac:dyDescent="0.35">
      <c r="A520" s="130">
        <v>42947</v>
      </c>
      <c r="B520" s="24" t="s">
        <v>572</v>
      </c>
      <c r="C520" s="24" t="s">
        <v>245</v>
      </c>
      <c r="D520" s="24" t="s">
        <v>568</v>
      </c>
      <c r="E520" s="24">
        <v>4812</v>
      </c>
      <c r="F520" s="24">
        <v>300803</v>
      </c>
    </row>
    <row r="521" spans="1:6" x14ac:dyDescent="0.35">
      <c r="A521" s="130">
        <v>42948</v>
      </c>
      <c r="B521" s="24" t="s">
        <v>573</v>
      </c>
      <c r="C521" s="24" t="s">
        <v>245</v>
      </c>
      <c r="D521" s="24" t="s">
        <v>568</v>
      </c>
      <c r="E521" s="24">
        <v>4474</v>
      </c>
      <c r="F521" s="24">
        <v>300821</v>
      </c>
    </row>
    <row r="522" spans="1:6" x14ac:dyDescent="0.35">
      <c r="A522" s="130">
        <v>42949</v>
      </c>
      <c r="B522" s="24" t="s">
        <v>574</v>
      </c>
      <c r="C522" s="24" t="s">
        <v>245</v>
      </c>
      <c r="D522" s="24" t="s">
        <v>568</v>
      </c>
      <c r="E522" s="24">
        <v>3332</v>
      </c>
      <c r="F522" s="24">
        <v>300826</v>
      </c>
    </row>
    <row r="523" spans="1:6" x14ac:dyDescent="0.35">
      <c r="A523" s="130">
        <v>42950</v>
      </c>
      <c r="B523" s="24" t="s">
        <v>620</v>
      </c>
      <c r="C523" s="24" t="s">
        <v>245</v>
      </c>
      <c r="D523" s="24" t="s">
        <v>568</v>
      </c>
      <c r="E523" s="24">
        <v>3175</v>
      </c>
      <c r="F523" s="24">
        <v>300830</v>
      </c>
    </row>
    <row r="524" spans="1:6" x14ac:dyDescent="0.35">
      <c r="A524" s="130">
        <v>42951</v>
      </c>
      <c r="B524" s="24" t="s">
        <v>621</v>
      </c>
      <c r="C524" s="24" t="s">
        <v>245</v>
      </c>
      <c r="D524" s="24" t="s">
        <v>568</v>
      </c>
      <c r="E524" s="24">
        <v>1963</v>
      </c>
      <c r="F524" s="24">
        <v>300831</v>
      </c>
    </row>
    <row r="525" spans="1:6" x14ac:dyDescent="0.35">
      <c r="A525" s="130">
        <v>42952</v>
      </c>
      <c r="B525" s="24" t="s">
        <v>569</v>
      </c>
      <c r="C525" s="24" t="s">
        <v>245</v>
      </c>
      <c r="D525" s="24" t="s">
        <v>568</v>
      </c>
      <c r="E525" s="24">
        <v>2751</v>
      </c>
      <c r="F525" s="24">
        <v>300855</v>
      </c>
    </row>
    <row r="526" spans="1:6" x14ac:dyDescent="0.35">
      <c r="A526" s="130">
        <v>42953</v>
      </c>
      <c r="B526" s="24" t="s">
        <v>570</v>
      </c>
      <c r="C526" s="24" t="s">
        <v>245</v>
      </c>
      <c r="D526" s="24" t="s">
        <v>568</v>
      </c>
      <c r="E526" s="24">
        <v>1232</v>
      </c>
      <c r="F526" s="24">
        <v>300860</v>
      </c>
    </row>
    <row r="527" spans="1:6" x14ac:dyDescent="0.35">
      <c r="A527" s="130">
        <v>42954</v>
      </c>
      <c r="B527" s="24" t="s">
        <v>571</v>
      </c>
      <c r="C527" s="24" t="s">
        <v>245</v>
      </c>
      <c r="D527" s="24" t="s">
        <v>568</v>
      </c>
      <c r="E527" s="24">
        <v>3670</v>
      </c>
      <c r="F527" s="24">
        <v>300861</v>
      </c>
    </row>
    <row r="528" spans="1:6" x14ac:dyDescent="0.35">
      <c r="A528" s="130">
        <v>42955</v>
      </c>
      <c r="B528" s="24" t="s">
        <v>572</v>
      </c>
      <c r="C528" s="24" t="s">
        <v>245</v>
      </c>
      <c r="D528" s="24" t="s">
        <v>568</v>
      </c>
      <c r="E528" s="24">
        <v>3568</v>
      </c>
      <c r="F528" s="24">
        <v>300870</v>
      </c>
    </row>
    <row r="529" spans="1:6" x14ac:dyDescent="0.35">
      <c r="A529" s="130">
        <v>42956</v>
      </c>
      <c r="B529" s="24" t="s">
        <v>280</v>
      </c>
      <c r="C529" s="24" t="s">
        <v>248</v>
      </c>
      <c r="D529" s="24" t="s">
        <v>281</v>
      </c>
      <c r="E529" s="24">
        <v>2510</v>
      </c>
      <c r="F529" s="24">
        <v>300880</v>
      </c>
    </row>
    <row r="530" spans="1:6" x14ac:dyDescent="0.35">
      <c r="A530" s="130">
        <v>42957</v>
      </c>
      <c r="B530" s="24" t="s">
        <v>280</v>
      </c>
      <c r="C530" s="24" t="s">
        <v>248</v>
      </c>
      <c r="D530" s="24" t="s">
        <v>281</v>
      </c>
      <c r="E530" s="24">
        <v>1488</v>
      </c>
      <c r="F530" s="24">
        <v>300881</v>
      </c>
    </row>
    <row r="531" spans="1:6" x14ac:dyDescent="0.35">
      <c r="A531" s="130">
        <v>42958</v>
      </c>
      <c r="B531" s="24" t="s">
        <v>283</v>
      </c>
      <c r="C531" s="24" t="s">
        <v>245</v>
      </c>
      <c r="D531" s="24" t="s">
        <v>281</v>
      </c>
      <c r="E531" s="24">
        <v>4671</v>
      </c>
      <c r="F531" s="24">
        <v>300882</v>
      </c>
    </row>
    <row r="532" spans="1:6" x14ac:dyDescent="0.35">
      <c r="A532" s="130">
        <v>42959</v>
      </c>
      <c r="B532" s="24" t="s">
        <v>283</v>
      </c>
      <c r="C532" s="24" t="s">
        <v>245</v>
      </c>
      <c r="D532" s="24" t="s">
        <v>281</v>
      </c>
      <c r="E532" s="24">
        <v>2392</v>
      </c>
      <c r="F532" s="24">
        <v>300885</v>
      </c>
    </row>
    <row r="533" spans="1:6" x14ac:dyDescent="0.35">
      <c r="A533" s="130">
        <v>42960</v>
      </c>
      <c r="B533" s="24" t="s">
        <v>623</v>
      </c>
      <c r="C533" s="24" t="s">
        <v>248</v>
      </c>
      <c r="D533" s="24" t="s">
        <v>281</v>
      </c>
      <c r="E533" s="24">
        <v>4280</v>
      </c>
      <c r="F533" s="24">
        <v>300890</v>
      </c>
    </row>
    <row r="534" spans="1:6" x14ac:dyDescent="0.35">
      <c r="A534" s="130">
        <v>42961</v>
      </c>
      <c r="B534" s="24" t="s">
        <v>623</v>
      </c>
      <c r="C534" s="24" t="s">
        <v>248</v>
      </c>
      <c r="D534" s="24" t="s">
        <v>281</v>
      </c>
      <c r="E534" s="24">
        <v>1255</v>
      </c>
      <c r="F534" s="24">
        <v>300897</v>
      </c>
    </row>
    <row r="535" spans="1:6" x14ac:dyDescent="0.35">
      <c r="A535" s="130">
        <v>42962</v>
      </c>
      <c r="B535" s="24" t="s">
        <v>284</v>
      </c>
      <c r="C535" s="24" t="s">
        <v>245</v>
      </c>
      <c r="D535" s="24" t="s">
        <v>281</v>
      </c>
      <c r="E535" s="24">
        <v>2408</v>
      </c>
      <c r="F535" s="24">
        <v>300900</v>
      </c>
    </row>
    <row r="536" spans="1:6" x14ac:dyDescent="0.35">
      <c r="A536" s="130">
        <v>42963</v>
      </c>
      <c r="B536" s="24" t="s">
        <v>285</v>
      </c>
      <c r="C536" s="24" t="s">
        <v>248</v>
      </c>
      <c r="D536" s="24" t="s">
        <v>281</v>
      </c>
      <c r="E536" s="24">
        <v>4397</v>
      </c>
      <c r="F536" s="24">
        <v>300904</v>
      </c>
    </row>
    <row r="537" spans="1:6" x14ac:dyDescent="0.35">
      <c r="A537" s="130">
        <v>42964</v>
      </c>
      <c r="B537" s="24" t="s">
        <v>285</v>
      </c>
      <c r="C537" s="24" t="s">
        <v>248</v>
      </c>
      <c r="D537" s="24" t="s">
        <v>281</v>
      </c>
      <c r="E537" s="24">
        <v>4171</v>
      </c>
      <c r="F537" s="24">
        <v>300906</v>
      </c>
    </row>
    <row r="538" spans="1:6" x14ac:dyDescent="0.35">
      <c r="A538" s="130">
        <v>42965</v>
      </c>
      <c r="B538" s="24" t="s">
        <v>286</v>
      </c>
      <c r="C538" s="24" t="s">
        <v>245</v>
      </c>
      <c r="D538" s="24" t="s">
        <v>281</v>
      </c>
      <c r="E538" s="24">
        <v>2891</v>
      </c>
      <c r="F538" s="24">
        <v>300912</v>
      </c>
    </row>
    <row r="539" spans="1:6" x14ac:dyDescent="0.35">
      <c r="A539" s="130">
        <v>42966</v>
      </c>
      <c r="B539" s="24" t="s">
        <v>287</v>
      </c>
      <c r="C539" s="24" t="s">
        <v>245</v>
      </c>
      <c r="D539" s="24" t="s">
        <v>281</v>
      </c>
      <c r="E539" s="24">
        <v>2765</v>
      </c>
      <c r="F539" s="24">
        <v>300917</v>
      </c>
    </row>
    <row r="540" spans="1:6" x14ac:dyDescent="0.35">
      <c r="A540" s="130">
        <v>42967</v>
      </c>
      <c r="B540" s="24" t="s">
        <v>624</v>
      </c>
      <c r="C540" s="24" t="s">
        <v>268</v>
      </c>
      <c r="D540" s="24" t="s">
        <v>281</v>
      </c>
      <c r="E540" s="24">
        <v>2306</v>
      </c>
      <c r="F540" s="24">
        <v>300921</v>
      </c>
    </row>
    <row r="541" spans="1:6" x14ac:dyDescent="0.35">
      <c r="A541" s="130">
        <v>42968</v>
      </c>
      <c r="B541" s="24" t="s">
        <v>624</v>
      </c>
      <c r="C541" s="24" t="s">
        <v>268</v>
      </c>
      <c r="D541" s="24" t="s">
        <v>281</v>
      </c>
      <c r="E541" s="24">
        <v>2124</v>
      </c>
      <c r="F541" s="24">
        <v>300924</v>
      </c>
    </row>
    <row r="542" spans="1:6" x14ac:dyDescent="0.35">
      <c r="A542" s="130">
        <v>42969</v>
      </c>
      <c r="B542" s="24" t="s">
        <v>624</v>
      </c>
      <c r="C542" s="24" t="s">
        <v>268</v>
      </c>
      <c r="D542" s="24" t="s">
        <v>281</v>
      </c>
      <c r="E542" s="24">
        <v>4287</v>
      </c>
      <c r="F542" s="24">
        <v>300929</v>
      </c>
    </row>
    <row r="543" spans="1:6" x14ac:dyDescent="0.35">
      <c r="A543" s="130">
        <v>42970</v>
      </c>
      <c r="B543" s="24" t="s">
        <v>288</v>
      </c>
      <c r="C543" s="24" t="s">
        <v>245</v>
      </c>
      <c r="D543" s="24" t="s">
        <v>281</v>
      </c>
      <c r="E543" s="24">
        <v>1232</v>
      </c>
      <c r="F543" s="24">
        <v>300934</v>
      </c>
    </row>
    <row r="544" spans="1:6" x14ac:dyDescent="0.35">
      <c r="A544" s="130">
        <v>42971</v>
      </c>
      <c r="B544" s="24" t="s">
        <v>290</v>
      </c>
      <c r="C544" s="24" t="s">
        <v>245</v>
      </c>
      <c r="D544" s="24" t="s">
        <v>281</v>
      </c>
      <c r="E544" s="24">
        <v>1283</v>
      </c>
      <c r="F544" s="24">
        <v>300960</v>
      </c>
    </row>
    <row r="545" spans="1:6" x14ac:dyDescent="0.35">
      <c r="A545" s="130">
        <v>42972</v>
      </c>
      <c r="B545" s="24" t="s">
        <v>290</v>
      </c>
      <c r="C545" s="24" t="s">
        <v>245</v>
      </c>
      <c r="D545" s="24" t="s">
        <v>281</v>
      </c>
      <c r="E545" s="24">
        <v>1781</v>
      </c>
      <c r="F545" s="24">
        <v>300961</v>
      </c>
    </row>
    <row r="546" spans="1:6" x14ac:dyDescent="0.35">
      <c r="A546" s="130">
        <v>42973</v>
      </c>
      <c r="B546" s="24" t="s">
        <v>625</v>
      </c>
      <c r="C546" s="24" t="s">
        <v>245</v>
      </c>
      <c r="D546" s="24" t="s">
        <v>281</v>
      </c>
      <c r="E546" s="24">
        <v>4200</v>
      </c>
      <c r="F546" s="24">
        <v>300965</v>
      </c>
    </row>
    <row r="547" spans="1:6" x14ac:dyDescent="0.35">
      <c r="A547" s="130">
        <v>42974</v>
      </c>
      <c r="B547" s="24" t="s">
        <v>625</v>
      </c>
      <c r="C547" s="24" t="s">
        <v>245</v>
      </c>
      <c r="D547" s="24" t="s">
        <v>281</v>
      </c>
      <c r="E547" s="24">
        <v>3641</v>
      </c>
      <c r="F547" s="24">
        <v>300966</v>
      </c>
    </row>
    <row r="548" spans="1:6" x14ac:dyDescent="0.35">
      <c r="A548" s="130">
        <v>42975</v>
      </c>
      <c r="B548" s="24" t="s">
        <v>626</v>
      </c>
      <c r="C548" s="24" t="s">
        <v>245</v>
      </c>
      <c r="D548" s="24" t="s">
        <v>281</v>
      </c>
      <c r="E548" s="24">
        <v>4341</v>
      </c>
      <c r="F548" s="24">
        <v>300968</v>
      </c>
    </row>
    <row r="549" spans="1:6" x14ac:dyDescent="0.35">
      <c r="A549" s="130">
        <v>42976</v>
      </c>
      <c r="B549" s="24" t="s">
        <v>291</v>
      </c>
      <c r="C549" s="24" t="s">
        <v>245</v>
      </c>
      <c r="D549" s="24" t="s">
        <v>281</v>
      </c>
      <c r="E549" s="24">
        <v>4062</v>
      </c>
      <c r="F549" s="24">
        <v>300974</v>
      </c>
    </row>
    <row r="550" spans="1:6" x14ac:dyDescent="0.35">
      <c r="A550" s="130">
        <v>42977</v>
      </c>
      <c r="B550" s="24" t="s">
        <v>627</v>
      </c>
      <c r="C550" s="24" t="s">
        <v>245</v>
      </c>
      <c r="D550" s="24" t="s">
        <v>281</v>
      </c>
      <c r="E550" s="24">
        <v>1769</v>
      </c>
      <c r="F550" s="24">
        <v>300980</v>
      </c>
    </row>
    <row r="551" spans="1:6" x14ac:dyDescent="0.35">
      <c r="A551" s="130">
        <v>42978</v>
      </c>
      <c r="B551" s="24" t="s">
        <v>627</v>
      </c>
      <c r="C551" s="24" t="s">
        <v>245</v>
      </c>
      <c r="D551" s="24" t="s">
        <v>281</v>
      </c>
      <c r="E551" s="24">
        <v>4919</v>
      </c>
      <c r="F551" s="24">
        <v>300985</v>
      </c>
    </row>
    <row r="552" spans="1:6" x14ac:dyDescent="0.35">
      <c r="A552" s="130">
        <v>42979</v>
      </c>
      <c r="B552" s="24" t="s">
        <v>267</v>
      </c>
      <c r="C552" s="24" t="s">
        <v>245</v>
      </c>
      <c r="D552" s="24" t="s">
        <v>281</v>
      </c>
      <c r="E552" s="24">
        <v>4804</v>
      </c>
      <c r="F552" s="24">
        <v>300992</v>
      </c>
    </row>
    <row r="553" spans="1:6" x14ac:dyDescent="0.35">
      <c r="A553" s="130">
        <v>42980</v>
      </c>
      <c r="B553" s="24" t="s">
        <v>267</v>
      </c>
      <c r="C553" s="24" t="s">
        <v>245</v>
      </c>
      <c r="D553" s="24" t="s">
        <v>281</v>
      </c>
      <c r="E553" s="24">
        <v>3724</v>
      </c>
      <c r="F553" s="24">
        <v>300999</v>
      </c>
    </row>
    <row r="554" spans="1:6" x14ac:dyDescent="0.35">
      <c r="A554" s="130">
        <v>42981</v>
      </c>
      <c r="B554" s="24" t="s">
        <v>292</v>
      </c>
      <c r="C554" s="24" t="s">
        <v>245</v>
      </c>
      <c r="D554" s="24" t="s">
        <v>281</v>
      </c>
      <c r="E554" s="24">
        <v>4533</v>
      </c>
      <c r="F554" s="24">
        <v>301000</v>
      </c>
    </row>
    <row r="555" spans="1:6" x14ac:dyDescent="0.35">
      <c r="A555" s="130">
        <v>42982</v>
      </c>
      <c r="B555" s="24" t="s">
        <v>292</v>
      </c>
      <c r="C555" s="24" t="s">
        <v>245</v>
      </c>
      <c r="D555" s="24" t="s">
        <v>281</v>
      </c>
      <c r="E555" s="24">
        <v>3831</v>
      </c>
      <c r="F555" s="24">
        <v>301006</v>
      </c>
    </row>
    <row r="556" spans="1:6" x14ac:dyDescent="0.35">
      <c r="A556" s="130">
        <v>42983</v>
      </c>
      <c r="B556" s="24" t="s">
        <v>296</v>
      </c>
      <c r="C556" s="24" t="s">
        <v>245</v>
      </c>
      <c r="D556" s="24" t="s">
        <v>281</v>
      </c>
      <c r="E556" s="24">
        <v>2670</v>
      </c>
      <c r="F556" s="24">
        <v>301009</v>
      </c>
    </row>
    <row r="557" spans="1:6" x14ac:dyDescent="0.35">
      <c r="A557" s="130">
        <v>42984</v>
      </c>
      <c r="B557" s="24" t="s">
        <v>296</v>
      </c>
      <c r="C557" s="24" t="s">
        <v>245</v>
      </c>
      <c r="D557" s="24" t="s">
        <v>281</v>
      </c>
      <c r="E557" s="24">
        <v>4691</v>
      </c>
      <c r="F557" s="24">
        <v>301014</v>
      </c>
    </row>
    <row r="558" spans="1:6" x14ac:dyDescent="0.35">
      <c r="A558" s="130">
        <v>42985</v>
      </c>
      <c r="B558" s="24" t="s">
        <v>628</v>
      </c>
      <c r="C558" s="24" t="s">
        <v>245</v>
      </c>
      <c r="D558" s="24" t="s">
        <v>281</v>
      </c>
      <c r="E558" s="24">
        <v>2264</v>
      </c>
      <c r="F558" s="24">
        <v>301017</v>
      </c>
    </row>
    <row r="559" spans="1:6" x14ac:dyDescent="0.35">
      <c r="A559" s="130">
        <v>42986</v>
      </c>
      <c r="B559" s="24" t="s">
        <v>628</v>
      </c>
      <c r="C559" s="24" t="s">
        <v>245</v>
      </c>
      <c r="D559" s="24" t="s">
        <v>281</v>
      </c>
      <c r="E559" s="24">
        <v>4132</v>
      </c>
      <c r="F559" s="24">
        <v>301018</v>
      </c>
    </row>
    <row r="560" spans="1:6" x14ac:dyDescent="0.35">
      <c r="A560" s="130">
        <v>42987</v>
      </c>
      <c r="B560" s="24" t="s">
        <v>628</v>
      </c>
      <c r="C560" s="24" t="s">
        <v>245</v>
      </c>
      <c r="D560" s="24" t="s">
        <v>281</v>
      </c>
      <c r="E560" s="24">
        <v>1810</v>
      </c>
      <c r="F560" s="24">
        <v>301022</v>
      </c>
    </row>
    <row r="561" spans="1:6" x14ac:dyDescent="0.35">
      <c r="A561" s="130">
        <v>42988</v>
      </c>
      <c r="B561" s="24" t="s">
        <v>297</v>
      </c>
      <c r="C561" s="24" t="s">
        <v>245</v>
      </c>
      <c r="D561" s="24" t="s">
        <v>281</v>
      </c>
      <c r="E561" s="24">
        <v>2102</v>
      </c>
      <c r="F561" s="24">
        <v>301027</v>
      </c>
    </row>
    <row r="562" spans="1:6" x14ac:dyDescent="0.35">
      <c r="A562" s="130">
        <v>42989</v>
      </c>
      <c r="B562" s="24" t="s">
        <v>297</v>
      </c>
      <c r="C562" s="24" t="s">
        <v>245</v>
      </c>
      <c r="D562" s="24" t="s">
        <v>281</v>
      </c>
      <c r="E562" s="24">
        <v>3222</v>
      </c>
      <c r="F562" s="24">
        <v>301030</v>
      </c>
    </row>
    <row r="563" spans="1:6" x14ac:dyDescent="0.35">
      <c r="A563" s="130">
        <v>42990</v>
      </c>
      <c r="B563" s="24" t="s">
        <v>298</v>
      </c>
      <c r="C563" s="24" t="s">
        <v>245</v>
      </c>
      <c r="D563" s="24" t="s">
        <v>281</v>
      </c>
      <c r="E563" s="24">
        <v>1102</v>
      </c>
      <c r="F563" s="24">
        <v>301033</v>
      </c>
    </row>
    <row r="564" spans="1:6" x14ac:dyDescent="0.35">
      <c r="A564" s="130">
        <v>42991</v>
      </c>
      <c r="B564" s="24" t="s">
        <v>298</v>
      </c>
      <c r="C564" s="24" t="s">
        <v>245</v>
      </c>
      <c r="D564" s="24" t="s">
        <v>281</v>
      </c>
      <c r="E564" s="24">
        <v>4260</v>
      </c>
      <c r="F564" s="24">
        <v>301039</v>
      </c>
    </row>
    <row r="565" spans="1:6" x14ac:dyDescent="0.35">
      <c r="A565" s="130">
        <v>42992</v>
      </c>
      <c r="B565" s="24" t="s">
        <v>298</v>
      </c>
      <c r="C565" s="24" t="s">
        <v>245</v>
      </c>
      <c r="D565" s="24" t="s">
        <v>281</v>
      </c>
      <c r="E565" s="24">
        <v>1785</v>
      </c>
      <c r="F565" s="24">
        <v>301040</v>
      </c>
    </row>
    <row r="566" spans="1:6" x14ac:dyDescent="0.35">
      <c r="A566" s="130">
        <v>42993</v>
      </c>
      <c r="B566" s="24" t="s">
        <v>629</v>
      </c>
      <c r="C566" s="24" t="s">
        <v>245</v>
      </c>
      <c r="D566" s="24" t="s">
        <v>281</v>
      </c>
      <c r="E566" s="24">
        <v>1729</v>
      </c>
      <c r="F566" s="24">
        <v>301045</v>
      </c>
    </row>
    <row r="567" spans="1:6" x14ac:dyDescent="0.35">
      <c r="A567" s="130">
        <v>42994</v>
      </c>
      <c r="B567" s="24" t="s">
        <v>629</v>
      </c>
      <c r="C567" s="24" t="s">
        <v>245</v>
      </c>
      <c r="D567" s="24" t="s">
        <v>281</v>
      </c>
      <c r="E567" s="24">
        <v>2021</v>
      </c>
      <c r="F567" s="24">
        <v>301047</v>
      </c>
    </row>
    <row r="568" spans="1:6" x14ac:dyDescent="0.35">
      <c r="A568" s="130">
        <v>42995</v>
      </c>
      <c r="B568" s="24" t="s">
        <v>629</v>
      </c>
      <c r="C568" s="24" t="s">
        <v>245</v>
      </c>
      <c r="D568" s="24" t="s">
        <v>281</v>
      </c>
      <c r="E568" s="24">
        <v>3317</v>
      </c>
      <c r="F568" s="24">
        <v>301048</v>
      </c>
    </row>
    <row r="569" spans="1:6" x14ac:dyDescent="0.35">
      <c r="A569" s="130">
        <v>42996</v>
      </c>
      <c r="B569" s="24" t="s">
        <v>630</v>
      </c>
      <c r="C569" s="24" t="s">
        <v>245</v>
      </c>
      <c r="D569" s="24" t="s">
        <v>281</v>
      </c>
      <c r="E569" s="24">
        <v>4525</v>
      </c>
      <c r="F569" s="24">
        <v>301053</v>
      </c>
    </row>
    <row r="570" spans="1:6" x14ac:dyDescent="0.35">
      <c r="A570" s="130">
        <v>42997</v>
      </c>
      <c r="B570" s="24" t="s">
        <v>630</v>
      </c>
      <c r="C570" s="24" t="s">
        <v>245</v>
      </c>
      <c r="D570" s="24" t="s">
        <v>281</v>
      </c>
      <c r="E570" s="24">
        <v>2527</v>
      </c>
      <c r="F570" s="24">
        <v>301058</v>
      </c>
    </row>
    <row r="571" spans="1:6" x14ac:dyDescent="0.35">
      <c r="A571" s="130">
        <v>42998</v>
      </c>
      <c r="B571" s="24" t="s">
        <v>299</v>
      </c>
      <c r="C571" s="24" t="s">
        <v>245</v>
      </c>
      <c r="D571" s="24" t="s">
        <v>281</v>
      </c>
      <c r="E571" s="24">
        <v>1808</v>
      </c>
      <c r="F571" s="24">
        <v>301059</v>
      </c>
    </row>
    <row r="572" spans="1:6" x14ac:dyDescent="0.35">
      <c r="A572" s="130">
        <v>42999</v>
      </c>
      <c r="B572" s="24" t="s">
        <v>299</v>
      </c>
      <c r="C572" s="24" t="s">
        <v>245</v>
      </c>
      <c r="D572" s="24" t="s">
        <v>281</v>
      </c>
      <c r="E572" s="24">
        <v>3540</v>
      </c>
      <c r="F572" s="24">
        <v>301062</v>
      </c>
    </row>
    <row r="573" spans="1:6" x14ac:dyDescent="0.35">
      <c r="A573" s="130">
        <v>43000</v>
      </c>
      <c r="B573" s="24" t="s">
        <v>300</v>
      </c>
      <c r="C573" s="24" t="s">
        <v>245</v>
      </c>
      <c r="D573" s="24" t="s">
        <v>281</v>
      </c>
      <c r="E573" s="24">
        <v>2566</v>
      </c>
      <c r="F573" s="24">
        <v>301091</v>
      </c>
    </row>
    <row r="574" spans="1:6" x14ac:dyDescent="0.35">
      <c r="A574" s="130">
        <v>43001</v>
      </c>
      <c r="B574" s="24" t="s">
        <v>300</v>
      </c>
      <c r="C574" s="24" t="s">
        <v>245</v>
      </c>
      <c r="D574" s="24" t="s">
        <v>281</v>
      </c>
      <c r="E574" s="24">
        <v>4674</v>
      </c>
      <c r="F574" s="24">
        <v>301092</v>
      </c>
    </row>
    <row r="575" spans="1:6" x14ac:dyDescent="0.35">
      <c r="A575" s="130">
        <v>43002</v>
      </c>
      <c r="B575" s="24" t="s">
        <v>302</v>
      </c>
      <c r="C575" s="24" t="s">
        <v>245</v>
      </c>
      <c r="D575" s="24" t="s">
        <v>281</v>
      </c>
      <c r="E575" s="24">
        <v>3191</v>
      </c>
      <c r="F575" s="24">
        <v>301115</v>
      </c>
    </row>
    <row r="576" spans="1:6" x14ac:dyDescent="0.35">
      <c r="A576" s="130">
        <v>43003</v>
      </c>
      <c r="B576" s="24" t="s">
        <v>302</v>
      </c>
      <c r="C576" s="24" t="s">
        <v>245</v>
      </c>
      <c r="D576" s="24" t="s">
        <v>281</v>
      </c>
      <c r="E576" s="24">
        <v>3096</v>
      </c>
      <c r="F576" s="24">
        <v>301116</v>
      </c>
    </row>
    <row r="577" spans="1:6" x14ac:dyDescent="0.35">
      <c r="A577" s="130">
        <v>43004</v>
      </c>
      <c r="B577" s="24" t="s">
        <v>303</v>
      </c>
      <c r="C577" s="24" t="s">
        <v>245</v>
      </c>
      <c r="D577" s="24" t="s">
        <v>281</v>
      </c>
      <c r="E577" s="24">
        <v>2061</v>
      </c>
      <c r="F577" s="24">
        <v>301118</v>
      </c>
    </row>
    <row r="578" spans="1:6" x14ac:dyDescent="0.35">
      <c r="A578" s="130">
        <v>43005</v>
      </c>
      <c r="B578" s="24" t="s">
        <v>304</v>
      </c>
      <c r="C578" s="24" t="s">
        <v>245</v>
      </c>
      <c r="D578" s="24" t="s">
        <v>281</v>
      </c>
      <c r="E578" s="24">
        <v>1329</v>
      </c>
      <c r="F578" s="24">
        <v>301122</v>
      </c>
    </row>
    <row r="579" spans="1:6" x14ac:dyDescent="0.35">
      <c r="A579" s="130">
        <v>43006</v>
      </c>
      <c r="B579" s="24" t="s">
        <v>304</v>
      </c>
      <c r="C579" s="24" t="s">
        <v>245</v>
      </c>
      <c r="D579" s="24" t="s">
        <v>281</v>
      </c>
      <c r="E579" s="24">
        <v>2149</v>
      </c>
      <c r="F579" s="24">
        <v>301124</v>
      </c>
    </row>
    <row r="580" spans="1:6" x14ac:dyDescent="0.35">
      <c r="A580" s="130">
        <v>43007</v>
      </c>
      <c r="B580" s="24" t="s">
        <v>305</v>
      </c>
      <c r="C580" s="24" t="s">
        <v>245</v>
      </c>
      <c r="D580" s="24" t="s">
        <v>281</v>
      </c>
      <c r="E580" s="24">
        <v>1872</v>
      </c>
      <c r="F580" s="24">
        <v>301125</v>
      </c>
    </row>
    <row r="581" spans="1:6" x14ac:dyDescent="0.35">
      <c r="A581" s="130">
        <v>43008</v>
      </c>
      <c r="B581" s="24" t="s">
        <v>305</v>
      </c>
      <c r="C581" s="24" t="s">
        <v>245</v>
      </c>
      <c r="D581" s="24" t="s">
        <v>281</v>
      </c>
      <c r="E581" s="24">
        <v>4013</v>
      </c>
      <c r="F581" s="24">
        <v>301127</v>
      </c>
    </row>
    <row r="582" spans="1:6" x14ac:dyDescent="0.35">
      <c r="A582" s="130">
        <v>43009</v>
      </c>
      <c r="B582" s="24" t="s">
        <v>305</v>
      </c>
      <c r="C582" s="24" t="s">
        <v>245</v>
      </c>
      <c r="D582" s="24" t="s">
        <v>281</v>
      </c>
      <c r="E582" s="24">
        <v>1590</v>
      </c>
      <c r="F582" s="24">
        <v>301128</v>
      </c>
    </row>
    <row r="583" spans="1:6" x14ac:dyDescent="0.35">
      <c r="A583" s="130">
        <v>43010</v>
      </c>
      <c r="B583" s="24" t="s">
        <v>306</v>
      </c>
      <c r="C583" s="24" t="s">
        <v>245</v>
      </c>
      <c r="D583" s="24" t="s">
        <v>281</v>
      </c>
      <c r="E583" s="24">
        <v>3646</v>
      </c>
      <c r="F583" s="24">
        <v>301129</v>
      </c>
    </row>
    <row r="584" spans="1:6" x14ac:dyDescent="0.35">
      <c r="A584" s="130">
        <v>43011</v>
      </c>
      <c r="B584" s="24" t="s">
        <v>306</v>
      </c>
      <c r="C584" s="24" t="s">
        <v>245</v>
      </c>
      <c r="D584" s="24" t="s">
        <v>281</v>
      </c>
      <c r="E584" s="24">
        <v>3417</v>
      </c>
      <c r="F584" s="24">
        <v>301132</v>
      </c>
    </row>
    <row r="585" spans="1:6" x14ac:dyDescent="0.35">
      <c r="A585" s="130">
        <v>43012</v>
      </c>
      <c r="B585" s="24" t="s">
        <v>306</v>
      </c>
      <c r="C585" s="24" t="s">
        <v>245</v>
      </c>
      <c r="D585" s="24" t="s">
        <v>281</v>
      </c>
      <c r="E585" s="24">
        <v>2237</v>
      </c>
      <c r="F585" s="24">
        <v>301135</v>
      </c>
    </row>
    <row r="586" spans="1:6" x14ac:dyDescent="0.35">
      <c r="A586" s="130">
        <v>43013</v>
      </c>
      <c r="B586" s="24" t="s">
        <v>307</v>
      </c>
      <c r="C586" s="24" t="s">
        <v>245</v>
      </c>
      <c r="D586" s="24" t="s">
        <v>281</v>
      </c>
      <c r="E586" s="24">
        <v>2202</v>
      </c>
      <c r="F586" s="24">
        <v>301136</v>
      </c>
    </row>
    <row r="587" spans="1:6" x14ac:dyDescent="0.35">
      <c r="A587" s="130">
        <v>43014</v>
      </c>
      <c r="B587" s="24" t="s">
        <v>308</v>
      </c>
      <c r="C587" s="24" t="s">
        <v>245</v>
      </c>
      <c r="D587" s="24" t="s">
        <v>281</v>
      </c>
      <c r="E587" s="24">
        <v>1876</v>
      </c>
      <c r="F587" s="24">
        <v>301139</v>
      </c>
    </row>
    <row r="588" spans="1:6" x14ac:dyDescent="0.35">
      <c r="A588" s="130">
        <v>43015</v>
      </c>
      <c r="B588" s="24" t="s">
        <v>308</v>
      </c>
      <c r="C588" s="24" t="s">
        <v>245</v>
      </c>
      <c r="D588" s="24" t="s">
        <v>281</v>
      </c>
      <c r="E588" s="24">
        <v>1818</v>
      </c>
      <c r="F588" s="24">
        <v>301141</v>
      </c>
    </row>
    <row r="589" spans="1:6" x14ac:dyDescent="0.35">
      <c r="A589" s="130">
        <v>43016</v>
      </c>
      <c r="B589" s="24" t="s">
        <v>309</v>
      </c>
      <c r="C589" s="24" t="s">
        <v>245</v>
      </c>
      <c r="D589" s="24" t="s">
        <v>281</v>
      </c>
      <c r="E589" s="24">
        <v>3519</v>
      </c>
      <c r="F589" s="24">
        <v>301144</v>
      </c>
    </row>
    <row r="590" spans="1:6" x14ac:dyDescent="0.35">
      <c r="A590" s="130">
        <v>43017</v>
      </c>
      <c r="B590" s="24" t="s">
        <v>309</v>
      </c>
      <c r="C590" s="24" t="s">
        <v>245</v>
      </c>
      <c r="D590" s="24" t="s">
        <v>281</v>
      </c>
      <c r="E590" s="24">
        <v>2295</v>
      </c>
      <c r="F590" s="24">
        <v>301145</v>
      </c>
    </row>
    <row r="591" spans="1:6" x14ac:dyDescent="0.35">
      <c r="A591" s="130">
        <v>43018</v>
      </c>
      <c r="B591" s="24" t="s">
        <v>310</v>
      </c>
      <c r="C591" s="24" t="s">
        <v>245</v>
      </c>
      <c r="D591" s="24" t="s">
        <v>281</v>
      </c>
      <c r="E591" s="24">
        <v>1268</v>
      </c>
      <c r="F591" s="24">
        <v>301146</v>
      </c>
    </row>
    <row r="592" spans="1:6" x14ac:dyDescent="0.35">
      <c r="A592" s="130">
        <v>43019</v>
      </c>
      <c r="B592" s="24" t="s">
        <v>312</v>
      </c>
      <c r="C592" s="24" t="s">
        <v>245</v>
      </c>
      <c r="D592" s="24" t="s">
        <v>281</v>
      </c>
      <c r="E592" s="24">
        <v>2339</v>
      </c>
      <c r="F592" s="24">
        <v>301147</v>
      </c>
    </row>
    <row r="593" spans="1:6" x14ac:dyDescent="0.35">
      <c r="A593" s="130">
        <v>43020</v>
      </c>
      <c r="B593" s="24" t="s">
        <v>312</v>
      </c>
      <c r="C593" s="24" t="s">
        <v>245</v>
      </c>
      <c r="D593" s="24" t="s">
        <v>281</v>
      </c>
      <c r="E593" s="24">
        <v>4899</v>
      </c>
      <c r="F593" s="24">
        <v>301148</v>
      </c>
    </row>
    <row r="594" spans="1:6" x14ac:dyDescent="0.35">
      <c r="A594" s="130">
        <v>43021</v>
      </c>
      <c r="B594" s="24" t="s">
        <v>124</v>
      </c>
      <c r="C594" s="24" t="s">
        <v>245</v>
      </c>
      <c r="D594" s="24" t="s">
        <v>281</v>
      </c>
      <c r="E594" s="24">
        <v>3006</v>
      </c>
      <c r="F594" s="24">
        <v>301150</v>
      </c>
    </row>
    <row r="595" spans="1:6" x14ac:dyDescent="0.35">
      <c r="A595" s="130">
        <v>43022</v>
      </c>
      <c r="B595" s="24" t="s">
        <v>124</v>
      </c>
      <c r="C595" s="24" t="s">
        <v>245</v>
      </c>
      <c r="D595" s="24" t="s">
        <v>281</v>
      </c>
      <c r="E595" s="24">
        <v>2646</v>
      </c>
      <c r="F595" s="24">
        <v>301153</v>
      </c>
    </row>
    <row r="596" spans="1:6" x14ac:dyDescent="0.35">
      <c r="A596" s="130">
        <v>43023</v>
      </c>
      <c r="B596" s="24" t="s">
        <v>314</v>
      </c>
      <c r="C596" s="24" t="s">
        <v>245</v>
      </c>
      <c r="D596" s="24" t="s">
        <v>281</v>
      </c>
      <c r="E596" s="24">
        <v>1633</v>
      </c>
      <c r="F596" s="24">
        <v>301154</v>
      </c>
    </row>
    <row r="597" spans="1:6" x14ac:dyDescent="0.35">
      <c r="A597" s="130">
        <v>43024</v>
      </c>
      <c r="B597" s="24" t="s">
        <v>314</v>
      </c>
      <c r="C597" s="24" t="s">
        <v>245</v>
      </c>
      <c r="D597" s="24" t="s">
        <v>281</v>
      </c>
      <c r="E597" s="24">
        <v>1753</v>
      </c>
      <c r="F597" s="24">
        <v>301155</v>
      </c>
    </row>
    <row r="598" spans="1:6" x14ac:dyDescent="0.35">
      <c r="A598" s="130">
        <v>43025</v>
      </c>
      <c r="B598" s="24" t="s">
        <v>315</v>
      </c>
      <c r="C598" s="24" t="s">
        <v>245</v>
      </c>
      <c r="D598" s="24" t="s">
        <v>281</v>
      </c>
      <c r="E598" s="24">
        <v>2521</v>
      </c>
      <c r="F598" s="24">
        <v>301156</v>
      </c>
    </row>
    <row r="599" spans="1:6" x14ac:dyDescent="0.35">
      <c r="A599" s="130">
        <v>43026</v>
      </c>
      <c r="B599" s="24" t="s">
        <v>315</v>
      </c>
      <c r="C599" s="24" t="s">
        <v>245</v>
      </c>
      <c r="D599" s="24" t="s">
        <v>281</v>
      </c>
      <c r="E599" s="24">
        <v>3654</v>
      </c>
      <c r="F599" s="24">
        <v>301160</v>
      </c>
    </row>
    <row r="600" spans="1:6" x14ac:dyDescent="0.35">
      <c r="A600" s="130">
        <v>43027</v>
      </c>
      <c r="B600" s="24" t="s">
        <v>316</v>
      </c>
      <c r="C600" s="24" t="s">
        <v>245</v>
      </c>
      <c r="D600" s="24" t="s">
        <v>281</v>
      </c>
      <c r="E600" s="24">
        <v>1106</v>
      </c>
      <c r="F600" s="24">
        <v>301161</v>
      </c>
    </row>
    <row r="601" spans="1:6" x14ac:dyDescent="0.35">
      <c r="A601" s="130">
        <v>43028</v>
      </c>
      <c r="B601" s="24" t="s">
        <v>316</v>
      </c>
      <c r="C601" s="24" t="s">
        <v>245</v>
      </c>
      <c r="D601" s="24" t="s">
        <v>281</v>
      </c>
      <c r="E601" s="24">
        <v>2297</v>
      </c>
      <c r="F601" s="24">
        <v>301163</v>
      </c>
    </row>
    <row r="602" spans="1:6" x14ac:dyDescent="0.35">
      <c r="A602" s="130">
        <v>43029</v>
      </c>
      <c r="B602" s="24" t="s">
        <v>631</v>
      </c>
      <c r="C602" s="24" t="s">
        <v>245</v>
      </c>
      <c r="D602" s="24" t="s">
        <v>281</v>
      </c>
      <c r="E602" s="24">
        <v>2177</v>
      </c>
      <c r="F602" s="24">
        <v>301164</v>
      </c>
    </row>
    <row r="603" spans="1:6" x14ac:dyDescent="0.35">
      <c r="A603" s="130">
        <v>43030</v>
      </c>
      <c r="B603" s="24" t="s">
        <v>631</v>
      </c>
      <c r="C603" s="24" t="s">
        <v>245</v>
      </c>
      <c r="D603" s="24" t="s">
        <v>281</v>
      </c>
      <c r="E603" s="24">
        <v>1669</v>
      </c>
      <c r="F603" s="24">
        <v>301165</v>
      </c>
    </row>
    <row r="604" spans="1:6" x14ac:dyDescent="0.35">
      <c r="A604" s="130">
        <v>43031</v>
      </c>
      <c r="B604" s="24" t="s">
        <v>317</v>
      </c>
      <c r="C604" s="24" t="s">
        <v>245</v>
      </c>
      <c r="D604" s="24" t="s">
        <v>281</v>
      </c>
      <c r="E604" s="24">
        <v>1149</v>
      </c>
      <c r="F604" s="24">
        <v>301166</v>
      </c>
    </row>
    <row r="605" spans="1:6" x14ac:dyDescent="0.35">
      <c r="A605" s="130">
        <v>43032</v>
      </c>
      <c r="B605" s="24" t="s">
        <v>317</v>
      </c>
      <c r="C605" s="24" t="s">
        <v>245</v>
      </c>
      <c r="D605" s="24" t="s">
        <v>281</v>
      </c>
      <c r="E605" s="24">
        <v>2568</v>
      </c>
      <c r="F605" s="24">
        <v>301167</v>
      </c>
    </row>
    <row r="606" spans="1:6" x14ac:dyDescent="0.35">
      <c r="A606" s="130">
        <v>43033</v>
      </c>
      <c r="B606" s="24" t="s">
        <v>319</v>
      </c>
      <c r="C606" s="24" t="s">
        <v>245</v>
      </c>
      <c r="D606" s="24" t="s">
        <v>281</v>
      </c>
      <c r="E606" s="24">
        <v>1364</v>
      </c>
      <c r="F606" s="24">
        <v>301168</v>
      </c>
    </row>
    <row r="607" spans="1:6" x14ac:dyDescent="0.35">
      <c r="A607" s="130">
        <v>43034</v>
      </c>
      <c r="B607" s="24" t="s">
        <v>319</v>
      </c>
      <c r="C607" s="24" t="s">
        <v>245</v>
      </c>
      <c r="D607" s="24" t="s">
        <v>281</v>
      </c>
      <c r="E607" s="24">
        <v>2361</v>
      </c>
      <c r="F607" s="24">
        <v>301169</v>
      </c>
    </row>
    <row r="608" spans="1:6" x14ac:dyDescent="0.35">
      <c r="A608" s="130">
        <v>43035</v>
      </c>
      <c r="B608" s="24" t="s">
        <v>320</v>
      </c>
      <c r="C608" s="24" t="s">
        <v>245</v>
      </c>
      <c r="D608" s="24" t="s">
        <v>281</v>
      </c>
      <c r="E608" s="24">
        <v>3853</v>
      </c>
      <c r="F608" s="24">
        <v>301170</v>
      </c>
    </row>
    <row r="609" spans="1:6" x14ac:dyDescent="0.35">
      <c r="A609" s="130">
        <v>43036</v>
      </c>
      <c r="B609" s="24" t="s">
        <v>320</v>
      </c>
      <c r="C609" s="24" t="s">
        <v>245</v>
      </c>
      <c r="D609" s="24" t="s">
        <v>281</v>
      </c>
      <c r="E609" s="24">
        <v>4454</v>
      </c>
      <c r="F609" s="24">
        <v>301171</v>
      </c>
    </row>
    <row r="610" spans="1:6" x14ac:dyDescent="0.35">
      <c r="A610" s="130">
        <v>43037</v>
      </c>
      <c r="B610" s="24" t="s">
        <v>322</v>
      </c>
      <c r="C610" s="24" t="s">
        <v>245</v>
      </c>
      <c r="D610" s="24" t="s">
        <v>281</v>
      </c>
      <c r="E610" s="24">
        <v>1205</v>
      </c>
      <c r="F610" s="24">
        <v>301172</v>
      </c>
    </row>
    <row r="611" spans="1:6" x14ac:dyDescent="0.35">
      <c r="A611" s="130">
        <v>43038</v>
      </c>
      <c r="B611" s="24" t="s">
        <v>322</v>
      </c>
      <c r="C611" s="24" t="s">
        <v>245</v>
      </c>
      <c r="D611" s="24" t="s">
        <v>281</v>
      </c>
      <c r="E611" s="24">
        <v>3707</v>
      </c>
      <c r="F611" s="24">
        <v>301173</v>
      </c>
    </row>
    <row r="612" spans="1:6" x14ac:dyDescent="0.35">
      <c r="A612" s="130">
        <v>43039</v>
      </c>
      <c r="B612" s="24" t="s">
        <v>632</v>
      </c>
      <c r="C612" s="24" t="s">
        <v>245</v>
      </c>
      <c r="D612" s="24" t="s">
        <v>281</v>
      </c>
      <c r="E612" s="24">
        <v>2059</v>
      </c>
      <c r="F612" s="24">
        <v>301174</v>
      </c>
    </row>
    <row r="613" spans="1:6" x14ac:dyDescent="0.35">
      <c r="A613" s="130">
        <v>43040</v>
      </c>
      <c r="B613" s="24" t="s">
        <v>632</v>
      </c>
      <c r="C613" s="24" t="s">
        <v>245</v>
      </c>
      <c r="D613" s="24" t="s">
        <v>281</v>
      </c>
      <c r="E613" s="24">
        <v>1317</v>
      </c>
      <c r="F613" s="24">
        <v>301175</v>
      </c>
    </row>
    <row r="614" spans="1:6" x14ac:dyDescent="0.35">
      <c r="A614" s="130">
        <v>43041</v>
      </c>
      <c r="B614" s="24" t="s">
        <v>633</v>
      </c>
      <c r="C614" s="24" t="s">
        <v>245</v>
      </c>
      <c r="D614" s="24" t="s">
        <v>281</v>
      </c>
      <c r="E614" s="24">
        <v>2825</v>
      </c>
      <c r="F614" s="24">
        <v>301176</v>
      </c>
    </row>
    <row r="615" spans="1:6" x14ac:dyDescent="0.35">
      <c r="A615" s="130">
        <v>43042</v>
      </c>
      <c r="B615" s="24" t="s">
        <v>633</v>
      </c>
      <c r="C615" s="24" t="s">
        <v>245</v>
      </c>
      <c r="D615" s="24" t="s">
        <v>281</v>
      </c>
      <c r="E615" s="24">
        <v>2430</v>
      </c>
      <c r="F615" s="24">
        <v>301177</v>
      </c>
    </row>
    <row r="616" spans="1:6" x14ac:dyDescent="0.35">
      <c r="A616" s="130">
        <v>43043</v>
      </c>
      <c r="B616" s="24" t="s">
        <v>324</v>
      </c>
      <c r="C616" s="24" t="s">
        <v>245</v>
      </c>
      <c r="D616" s="24" t="s">
        <v>281</v>
      </c>
      <c r="E616" s="24">
        <v>3787</v>
      </c>
      <c r="F616" s="24">
        <v>301178</v>
      </c>
    </row>
    <row r="617" spans="1:6" x14ac:dyDescent="0.35">
      <c r="A617" s="130">
        <v>43044</v>
      </c>
      <c r="B617" s="24" t="s">
        <v>324</v>
      </c>
      <c r="C617" s="24" t="s">
        <v>245</v>
      </c>
      <c r="D617" s="24" t="s">
        <v>281</v>
      </c>
      <c r="E617" s="24">
        <v>1682</v>
      </c>
      <c r="F617" s="24">
        <v>301179</v>
      </c>
    </row>
    <row r="618" spans="1:6" x14ac:dyDescent="0.35">
      <c r="A618" s="130">
        <v>43045</v>
      </c>
      <c r="B618" s="24" t="s">
        <v>325</v>
      </c>
      <c r="C618" s="24" t="s">
        <v>245</v>
      </c>
      <c r="D618" s="24" t="s">
        <v>281</v>
      </c>
      <c r="E618" s="24">
        <v>4852</v>
      </c>
      <c r="F618" s="24">
        <v>301180</v>
      </c>
    </row>
    <row r="619" spans="1:6" x14ac:dyDescent="0.35">
      <c r="A619" s="130">
        <v>43046</v>
      </c>
      <c r="B619" s="24" t="s">
        <v>325</v>
      </c>
      <c r="C619" s="24" t="s">
        <v>245</v>
      </c>
      <c r="D619" s="24" t="s">
        <v>281</v>
      </c>
      <c r="E619" s="24">
        <v>4649</v>
      </c>
      <c r="F619" s="24">
        <v>301181</v>
      </c>
    </row>
    <row r="620" spans="1:6" x14ac:dyDescent="0.35">
      <c r="A620" s="130">
        <v>43047</v>
      </c>
      <c r="B620" s="24" t="s">
        <v>327</v>
      </c>
      <c r="C620" s="24" t="s">
        <v>245</v>
      </c>
      <c r="D620" s="24" t="s">
        <v>281</v>
      </c>
      <c r="E620" s="24">
        <v>2103</v>
      </c>
      <c r="F620" s="24">
        <v>301182</v>
      </c>
    </row>
    <row r="621" spans="1:6" x14ac:dyDescent="0.35">
      <c r="A621" s="130">
        <v>43048</v>
      </c>
      <c r="B621" s="24" t="s">
        <v>327</v>
      </c>
      <c r="C621" s="24" t="s">
        <v>245</v>
      </c>
      <c r="D621" s="24" t="s">
        <v>281</v>
      </c>
      <c r="E621" s="24">
        <v>1287</v>
      </c>
      <c r="F621" s="24">
        <v>301185</v>
      </c>
    </row>
    <row r="622" spans="1:6" x14ac:dyDescent="0.35">
      <c r="A622" s="130">
        <v>43049</v>
      </c>
      <c r="B622" s="24" t="s">
        <v>329</v>
      </c>
      <c r="C622" s="24" t="s">
        <v>245</v>
      </c>
      <c r="D622" s="24" t="s">
        <v>281</v>
      </c>
      <c r="E622" s="24">
        <v>4299</v>
      </c>
      <c r="F622" s="24">
        <v>301186</v>
      </c>
    </row>
    <row r="623" spans="1:6" x14ac:dyDescent="0.35">
      <c r="A623" s="130">
        <v>43050</v>
      </c>
      <c r="B623" s="24" t="s">
        <v>329</v>
      </c>
      <c r="C623" s="24" t="s">
        <v>245</v>
      </c>
      <c r="D623" s="24" t="s">
        <v>281</v>
      </c>
      <c r="E623" s="24">
        <v>1651</v>
      </c>
      <c r="F623" s="24">
        <v>300500</v>
      </c>
    </row>
    <row r="624" spans="1:6" x14ac:dyDescent="0.35">
      <c r="A624" s="130">
        <v>43051</v>
      </c>
      <c r="B624" s="24" t="s">
        <v>330</v>
      </c>
      <c r="C624" s="24" t="s">
        <v>245</v>
      </c>
      <c r="D624" s="24" t="s">
        <v>281</v>
      </c>
      <c r="E624" s="24">
        <v>1077</v>
      </c>
      <c r="F624" s="24">
        <v>300509</v>
      </c>
    </row>
    <row r="625" spans="1:6" x14ac:dyDescent="0.35">
      <c r="A625" s="130">
        <v>43052</v>
      </c>
      <c r="B625" s="24" t="s">
        <v>330</v>
      </c>
      <c r="C625" s="24" t="s">
        <v>245</v>
      </c>
      <c r="D625" s="24" t="s">
        <v>281</v>
      </c>
      <c r="E625" s="24">
        <v>2553</v>
      </c>
      <c r="F625" s="24">
        <v>300553</v>
      </c>
    </row>
    <row r="626" spans="1:6" x14ac:dyDescent="0.35">
      <c r="A626" s="130">
        <v>43053</v>
      </c>
      <c r="B626" s="24" t="s">
        <v>331</v>
      </c>
      <c r="C626" s="24" t="s">
        <v>245</v>
      </c>
      <c r="D626" s="24" t="s">
        <v>281</v>
      </c>
      <c r="E626" s="24">
        <v>3804</v>
      </c>
      <c r="F626" s="24">
        <v>300626</v>
      </c>
    </row>
    <row r="627" spans="1:6" x14ac:dyDescent="0.35">
      <c r="A627" s="130">
        <v>43054</v>
      </c>
      <c r="B627" s="24" t="s">
        <v>332</v>
      </c>
      <c r="C627" s="24" t="s">
        <v>245</v>
      </c>
      <c r="D627" s="24" t="s">
        <v>281</v>
      </c>
      <c r="E627" s="24">
        <v>4945</v>
      </c>
      <c r="F627" s="24">
        <v>300629</v>
      </c>
    </row>
    <row r="628" spans="1:6" x14ac:dyDescent="0.35">
      <c r="A628" s="130">
        <v>43055</v>
      </c>
      <c r="B628" s="24" t="s">
        <v>332</v>
      </c>
      <c r="C628" s="24" t="s">
        <v>245</v>
      </c>
      <c r="D628" s="24" t="s">
        <v>281</v>
      </c>
      <c r="E628" s="24">
        <v>2500</v>
      </c>
      <c r="F628" s="24">
        <v>300633</v>
      </c>
    </row>
    <row r="629" spans="1:6" x14ac:dyDescent="0.35">
      <c r="A629" s="130">
        <v>43056</v>
      </c>
      <c r="B629" s="24" t="s">
        <v>333</v>
      </c>
      <c r="C629" s="24" t="s">
        <v>245</v>
      </c>
      <c r="D629" s="24" t="s">
        <v>281</v>
      </c>
      <c r="E629" s="24">
        <v>2161</v>
      </c>
      <c r="F629" s="24">
        <v>300659</v>
      </c>
    </row>
    <row r="630" spans="1:6" x14ac:dyDescent="0.35">
      <c r="A630" s="130">
        <v>43057</v>
      </c>
      <c r="B630" s="24" t="s">
        <v>333</v>
      </c>
      <c r="C630" s="24" t="s">
        <v>245</v>
      </c>
      <c r="D630" s="24" t="s">
        <v>281</v>
      </c>
      <c r="E630" s="24">
        <v>2321</v>
      </c>
      <c r="F630" s="24">
        <v>300660</v>
      </c>
    </row>
    <row r="631" spans="1:6" x14ac:dyDescent="0.35">
      <c r="A631" s="130">
        <v>43058</v>
      </c>
      <c r="B631" s="24" t="s">
        <v>334</v>
      </c>
      <c r="C631" s="24" t="s">
        <v>245</v>
      </c>
      <c r="D631" s="24" t="s">
        <v>281</v>
      </c>
      <c r="E631" s="24">
        <v>2915</v>
      </c>
      <c r="F631" s="24">
        <v>300758</v>
      </c>
    </row>
    <row r="632" spans="1:6" x14ac:dyDescent="0.35">
      <c r="A632" s="130">
        <v>43059</v>
      </c>
      <c r="B632" s="24" t="s">
        <v>334</v>
      </c>
      <c r="C632" s="24" t="s">
        <v>245</v>
      </c>
      <c r="D632" s="24" t="s">
        <v>281</v>
      </c>
      <c r="E632" s="24">
        <v>2117</v>
      </c>
      <c r="F632" s="24">
        <v>300767</v>
      </c>
    </row>
    <row r="633" spans="1:6" x14ac:dyDescent="0.35">
      <c r="A633" s="130">
        <v>43060</v>
      </c>
      <c r="B633" s="24" t="s">
        <v>335</v>
      </c>
      <c r="C633" s="24" t="s">
        <v>245</v>
      </c>
      <c r="D633" s="24" t="s">
        <v>281</v>
      </c>
      <c r="E633" s="24">
        <v>4760</v>
      </c>
      <c r="F633" s="24">
        <v>300768</v>
      </c>
    </row>
    <row r="634" spans="1:6" x14ac:dyDescent="0.35">
      <c r="A634" s="130">
        <v>43061</v>
      </c>
      <c r="B634" s="24" t="s">
        <v>335</v>
      </c>
      <c r="C634" s="24" t="s">
        <v>245</v>
      </c>
      <c r="D634" s="24" t="s">
        <v>281</v>
      </c>
      <c r="E634" s="24">
        <v>4912</v>
      </c>
      <c r="F634" s="24">
        <v>300773</v>
      </c>
    </row>
    <row r="635" spans="1:6" x14ac:dyDescent="0.35">
      <c r="A635" s="130">
        <v>43062</v>
      </c>
      <c r="B635" s="24" t="s">
        <v>282</v>
      </c>
      <c r="C635" s="24" t="s">
        <v>245</v>
      </c>
      <c r="D635" s="24" t="s">
        <v>281</v>
      </c>
      <c r="E635" s="24">
        <v>1703</v>
      </c>
      <c r="F635" s="24">
        <v>300809</v>
      </c>
    </row>
    <row r="636" spans="1:6" x14ac:dyDescent="0.35">
      <c r="A636" s="130">
        <v>43063</v>
      </c>
      <c r="B636" s="24" t="s">
        <v>283</v>
      </c>
      <c r="C636" s="24" t="s">
        <v>245</v>
      </c>
      <c r="D636" s="24" t="s">
        <v>281</v>
      </c>
      <c r="E636" s="24">
        <v>1324</v>
      </c>
      <c r="F636" s="24">
        <v>300824</v>
      </c>
    </row>
    <row r="637" spans="1:6" x14ac:dyDescent="0.35">
      <c r="A637" s="130">
        <v>43064</v>
      </c>
      <c r="B637" s="24" t="s">
        <v>623</v>
      </c>
      <c r="C637" s="24" t="s">
        <v>248</v>
      </c>
      <c r="D637" s="24" t="s">
        <v>281</v>
      </c>
      <c r="E637" s="24">
        <v>1486</v>
      </c>
      <c r="F637" s="24">
        <v>300884</v>
      </c>
    </row>
    <row r="638" spans="1:6" x14ac:dyDescent="0.35">
      <c r="A638" s="130">
        <v>43065</v>
      </c>
      <c r="B638" s="24" t="s">
        <v>284</v>
      </c>
      <c r="C638" s="24" t="s">
        <v>245</v>
      </c>
      <c r="D638" s="24" t="s">
        <v>281</v>
      </c>
      <c r="E638" s="24">
        <v>1955</v>
      </c>
      <c r="F638" s="24">
        <v>300887</v>
      </c>
    </row>
    <row r="639" spans="1:6" x14ac:dyDescent="0.35">
      <c r="A639" s="130">
        <v>43066</v>
      </c>
      <c r="B639" s="24" t="s">
        <v>285</v>
      </c>
      <c r="C639" s="24" t="s">
        <v>248</v>
      </c>
      <c r="D639" s="24" t="s">
        <v>281</v>
      </c>
      <c r="E639" s="24">
        <v>2212</v>
      </c>
      <c r="F639" s="24">
        <v>300894</v>
      </c>
    </row>
    <row r="640" spans="1:6" x14ac:dyDescent="0.35">
      <c r="A640" s="130">
        <v>43067</v>
      </c>
      <c r="B640" s="24" t="s">
        <v>285</v>
      </c>
      <c r="C640" s="24" t="s">
        <v>248</v>
      </c>
      <c r="D640" s="24" t="s">
        <v>281</v>
      </c>
      <c r="E640" s="24">
        <v>1025</v>
      </c>
      <c r="F640" s="24">
        <v>300901</v>
      </c>
    </row>
    <row r="641" spans="1:6" x14ac:dyDescent="0.35">
      <c r="A641" s="130">
        <v>43068</v>
      </c>
      <c r="B641" s="24" t="s">
        <v>624</v>
      </c>
      <c r="C641" s="24" t="s">
        <v>268</v>
      </c>
      <c r="D641" s="24" t="s">
        <v>281</v>
      </c>
      <c r="E641" s="24">
        <v>4592</v>
      </c>
      <c r="F641" s="24">
        <v>300903</v>
      </c>
    </row>
    <row r="642" spans="1:6" x14ac:dyDescent="0.35">
      <c r="A642" s="130">
        <v>43069</v>
      </c>
      <c r="B642" s="24" t="s">
        <v>624</v>
      </c>
      <c r="C642" s="24" t="s">
        <v>268</v>
      </c>
      <c r="D642" s="24" t="s">
        <v>281</v>
      </c>
      <c r="E642" s="24">
        <v>1333</v>
      </c>
      <c r="F642" s="24">
        <v>300909</v>
      </c>
    </row>
    <row r="643" spans="1:6" x14ac:dyDescent="0.35">
      <c r="A643" s="130">
        <v>43070</v>
      </c>
      <c r="B643" s="24" t="s">
        <v>290</v>
      </c>
      <c r="C643" s="24" t="s">
        <v>245</v>
      </c>
      <c r="D643" s="24" t="s">
        <v>281</v>
      </c>
      <c r="E643" s="24">
        <v>4528</v>
      </c>
      <c r="F643" s="24">
        <v>300955</v>
      </c>
    </row>
    <row r="644" spans="1:6" x14ac:dyDescent="0.35">
      <c r="A644" s="130">
        <v>43071</v>
      </c>
      <c r="B644" s="24" t="s">
        <v>625</v>
      </c>
      <c r="C644" s="24" t="s">
        <v>245</v>
      </c>
      <c r="D644" s="24" t="s">
        <v>281</v>
      </c>
      <c r="E644" s="24">
        <v>1463</v>
      </c>
      <c r="F644" s="24">
        <v>300969</v>
      </c>
    </row>
    <row r="645" spans="1:6" x14ac:dyDescent="0.35">
      <c r="A645" s="130">
        <v>43072</v>
      </c>
      <c r="B645" s="24" t="s">
        <v>625</v>
      </c>
      <c r="C645" s="24" t="s">
        <v>245</v>
      </c>
      <c r="D645" s="24" t="s">
        <v>281</v>
      </c>
      <c r="E645" s="24">
        <v>3602</v>
      </c>
      <c r="F645" s="24">
        <v>300986</v>
      </c>
    </row>
    <row r="646" spans="1:6" x14ac:dyDescent="0.35">
      <c r="A646" s="130">
        <v>43073</v>
      </c>
      <c r="B646" s="24" t="s">
        <v>626</v>
      </c>
      <c r="C646" s="24" t="s">
        <v>245</v>
      </c>
      <c r="D646" s="24" t="s">
        <v>281</v>
      </c>
      <c r="E646" s="24">
        <v>1298</v>
      </c>
      <c r="F646" s="24">
        <v>300998</v>
      </c>
    </row>
    <row r="647" spans="1:6" x14ac:dyDescent="0.35">
      <c r="A647" s="130">
        <v>43074</v>
      </c>
      <c r="B647" s="24" t="s">
        <v>627</v>
      </c>
      <c r="C647" s="24" t="s">
        <v>245</v>
      </c>
      <c r="D647" s="24" t="s">
        <v>281</v>
      </c>
      <c r="E647" s="24">
        <v>4004</v>
      </c>
      <c r="F647" s="24">
        <v>301001</v>
      </c>
    </row>
    <row r="648" spans="1:6" x14ac:dyDescent="0.35">
      <c r="A648" s="130">
        <v>43075</v>
      </c>
      <c r="B648" s="24" t="s">
        <v>627</v>
      </c>
      <c r="C648" s="24" t="s">
        <v>245</v>
      </c>
      <c r="D648" s="24" t="s">
        <v>281</v>
      </c>
      <c r="E648" s="24">
        <v>3668</v>
      </c>
      <c r="F648" s="24">
        <v>301015</v>
      </c>
    </row>
    <row r="649" spans="1:6" x14ac:dyDescent="0.35">
      <c r="A649" s="130">
        <v>43076</v>
      </c>
      <c r="B649" s="24" t="s">
        <v>267</v>
      </c>
      <c r="C649" s="24" t="s">
        <v>245</v>
      </c>
      <c r="D649" s="24" t="s">
        <v>281</v>
      </c>
      <c r="E649" s="24">
        <v>4504</v>
      </c>
      <c r="F649" s="24">
        <v>301050</v>
      </c>
    </row>
    <row r="650" spans="1:6" x14ac:dyDescent="0.35">
      <c r="A650" s="130">
        <v>43077</v>
      </c>
      <c r="B650" s="24" t="s">
        <v>267</v>
      </c>
      <c r="C650" s="24" t="s">
        <v>245</v>
      </c>
      <c r="D650" s="24" t="s">
        <v>281</v>
      </c>
      <c r="E650" s="24">
        <v>3459</v>
      </c>
      <c r="F650" s="24">
        <v>301054</v>
      </c>
    </row>
    <row r="651" spans="1:6" x14ac:dyDescent="0.35">
      <c r="A651" s="130">
        <v>43078</v>
      </c>
      <c r="B651" s="24" t="s">
        <v>267</v>
      </c>
      <c r="C651" s="24" t="s">
        <v>245</v>
      </c>
      <c r="D651" s="24" t="s">
        <v>281</v>
      </c>
      <c r="E651" s="24">
        <v>3311</v>
      </c>
      <c r="F651" s="24">
        <v>301061</v>
      </c>
    </row>
    <row r="652" spans="1:6" x14ac:dyDescent="0.35">
      <c r="A652" s="130">
        <v>43079</v>
      </c>
      <c r="B652" s="24" t="s">
        <v>292</v>
      </c>
      <c r="C652" s="24" t="s">
        <v>245</v>
      </c>
      <c r="D652" s="24" t="s">
        <v>281</v>
      </c>
      <c r="E652" s="24">
        <v>1758</v>
      </c>
      <c r="F652" s="24">
        <v>301137</v>
      </c>
    </row>
    <row r="653" spans="1:6" x14ac:dyDescent="0.35">
      <c r="A653" s="130">
        <v>43080</v>
      </c>
      <c r="B653" s="24" t="s">
        <v>292</v>
      </c>
      <c r="C653" s="24" t="s">
        <v>245</v>
      </c>
      <c r="D653" s="24" t="s">
        <v>281</v>
      </c>
      <c r="E653" s="24">
        <v>1922</v>
      </c>
      <c r="F653" s="24">
        <v>301142</v>
      </c>
    </row>
    <row r="654" spans="1:6" x14ac:dyDescent="0.35">
      <c r="A654" s="130">
        <v>43081</v>
      </c>
      <c r="B654" s="24" t="s">
        <v>293</v>
      </c>
      <c r="C654" s="24" t="s">
        <v>245</v>
      </c>
      <c r="D654" s="24" t="s">
        <v>281</v>
      </c>
      <c r="E654" s="24">
        <v>1105</v>
      </c>
      <c r="F654" s="24">
        <v>301151</v>
      </c>
    </row>
    <row r="655" spans="1:6" x14ac:dyDescent="0.35">
      <c r="A655" s="130">
        <v>43082</v>
      </c>
      <c r="B655" s="24" t="s">
        <v>293</v>
      </c>
      <c r="C655" s="24" t="s">
        <v>245</v>
      </c>
      <c r="D655" s="24" t="s">
        <v>281</v>
      </c>
      <c r="E655" s="24">
        <v>3298</v>
      </c>
      <c r="F655" s="24">
        <v>301157</v>
      </c>
    </row>
    <row r="656" spans="1:6" x14ac:dyDescent="0.35">
      <c r="A656" s="130">
        <v>43083</v>
      </c>
      <c r="B656" s="24" t="s">
        <v>294</v>
      </c>
      <c r="C656" s="24" t="s">
        <v>245</v>
      </c>
      <c r="D656" s="24" t="s">
        <v>281</v>
      </c>
      <c r="E656" s="24">
        <v>1284</v>
      </c>
      <c r="F656" s="24">
        <v>301159</v>
      </c>
    </row>
    <row r="657" spans="1:6" x14ac:dyDescent="0.35">
      <c r="A657" s="130">
        <v>43084</v>
      </c>
      <c r="B657" s="24" t="s">
        <v>294</v>
      </c>
      <c r="C657" s="24" t="s">
        <v>245</v>
      </c>
      <c r="D657" s="24" t="s">
        <v>281</v>
      </c>
      <c r="E657" s="24">
        <v>2610</v>
      </c>
      <c r="F657" s="24">
        <v>301183</v>
      </c>
    </row>
    <row r="658" spans="1:6" x14ac:dyDescent="0.35">
      <c r="A658" s="130">
        <v>43085</v>
      </c>
      <c r="B658" s="24" t="s">
        <v>296</v>
      </c>
      <c r="C658" s="24" t="s">
        <v>245</v>
      </c>
      <c r="D658" s="24" t="s">
        <v>281</v>
      </c>
      <c r="E658" s="24">
        <v>1139</v>
      </c>
      <c r="F658" s="24">
        <v>301184</v>
      </c>
    </row>
    <row r="659" spans="1:6" x14ac:dyDescent="0.35">
      <c r="A659" s="130">
        <v>43086</v>
      </c>
      <c r="B659" s="24" t="s">
        <v>296</v>
      </c>
      <c r="C659" s="24" t="s">
        <v>245</v>
      </c>
      <c r="D659" s="24" t="s">
        <v>281</v>
      </c>
      <c r="E659" s="24">
        <v>2169</v>
      </c>
      <c r="F659" s="24">
        <v>301191</v>
      </c>
    </row>
    <row r="660" spans="1:6" x14ac:dyDescent="0.35">
      <c r="A660" s="130">
        <v>43087</v>
      </c>
      <c r="B660" s="24" t="s">
        <v>634</v>
      </c>
      <c r="C660" s="24" t="s">
        <v>245</v>
      </c>
      <c r="D660" s="24" t="s">
        <v>281</v>
      </c>
      <c r="E660" s="24">
        <v>2153</v>
      </c>
      <c r="F660" s="24">
        <v>300524</v>
      </c>
    </row>
    <row r="661" spans="1:6" x14ac:dyDescent="0.35">
      <c r="A661" s="130">
        <v>43088</v>
      </c>
      <c r="B661" s="24" t="s">
        <v>634</v>
      </c>
      <c r="C661" s="24" t="s">
        <v>245</v>
      </c>
      <c r="D661" s="24" t="s">
        <v>281</v>
      </c>
      <c r="E661" s="24">
        <v>4381</v>
      </c>
      <c r="F661" s="24">
        <v>300706</v>
      </c>
    </row>
    <row r="662" spans="1:6" x14ac:dyDescent="0.35">
      <c r="A662" s="130">
        <v>43089</v>
      </c>
      <c r="B662" s="24" t="s">
        <v>628</v>
      </c>
      <c r="C662" s="24" t="s">
        <v>245</v>
      </c>
      <c r="D662" s="24" t="s">
        <v>281</v>
      </c>
      <c r="E662" s="24">
        <v>4827</v>
      </c>
      <c r="F662" s="24">
        <v>300818</v>
      </c>
    </row>
    <row r="663" spans="1:6" x14ac:dyDescent="0.35">
      <c r="A663" s="130">
        <v>43090</v>
      </c>
      <c r="B663" s="24" t="s">
        <v>628</v>
      </c>
      <c r="C663" s="24" t="s">
        <v>245</v>
      </c>
      <c r="D663" s="24" t="s">
        <v>281</v>
      </c>
      <c r="E663" s="24">
        <v>2581</v>
      </c>
      <c r="F663" s="24">
        <v>300828</v>
      </c>
    </row>
    <row r="664" spans="1:6" x14ac:dyDescent="0.35">
      <c r="A664" s="130">
        <v>43091</v>
      </c>
      <c r="B664" s="24" t="s">
        <v>628</v>
      </c>
      <c r="C664" s="24" t="s">
        <v>245</v>
      </c>
      <c r="D664" s="24" t="s">
        <v>281</v>
      </c>
      <c r="E664" s="24">
        <v>1952</v>
      </c>
      <c r="F664" s="24">
        <v>300973</v>
      </c>
    </row>
    <row r="665" spans="1:6" x14ac:dyDescent="0.35">
      <c r="A665" s="130">
        <v>43092</v>
      </c>
      <c r="B665" s="24" t="s">
        <v>297</v>
      </c>
      <c r="C665" s="24" t="s">
        <v>245</v>
      </c>
      <c r="D665" s="24" t="s">
        <v>281</v>
      </c>
      <c r="E665" s="24">
        <v>3666</v>
      </c>
      <c r="F665" s="24">
        <v>301051</v>
      </c>
    </row>
    <row r="666" spans="1:6" x14ac:dyDescent="0.35">
      <c r="A666" s="130">
        <v>43093</v>
      </c>
      <c r="B666" s="24" t="s">
        <v>297</v>
      </c>
      <c r="C666" s="24" t="s">
        <v>245</v>
      </c>
      <c r="D666" s="24" t="s">
        <v>281</v>
      </c>
      <c r="E666" s="24">
        <v>2480</v>
      </c>
      <c r="F666" s="24">
        <v>301192</v>
      </c>
    </row>
    <row r="667" spans="1:6" x14ac:dyDescent="0.35">
      <c r="A667" s="130">
        <v>43094</v>
      </c>
      <c r="B667" s="24" t="s">
        <v>298</v>
      </c>
      <c r="C667" s="24" t="s">
        <v>245</v>
      </c>
      <c r="D667" s="24" t="s">
        <v>281</v>
      </c>
      <c r="E667" s="24">
        <v>4250</v>
      </c>
      <c r="F667" s="24">
        <v>300579</v>
      </c>
    </row>
    <row r="668" spans="1:6" x14ac:dyDescent="0.35">
      <c r="A668" s="130">
        <v>43095</v>
      </c>
      <c r="B668" s="24" t="s">
        <v>298</v>
      </c>
      <c r="C668" s="24" t="s">
        <v>245</v>
      </c>
      <c r="D668" s="24" t="s">
        <v>281</v>
      </c>
      <c r="E668" s="24">
        <v>2171</v>
      </c>
      <c r="F668" s="24">
        <v>300597</v>
      </c>
    </row>
    <row r="669" spans="1:6" x14ac:dyDescent="0.35">
      <c r="A669" s="130">
        <v>43096</v>
      </c>
      <c r="B669" s="24" t="s">
        <v>298</v>
      </c>
      <c r="C669" s="24" t="s">
        <v>245</v>
      </c>
      <c r="D669" s="24" t="s">
        <v>281</v>
      </c>
      <c r="E669" s="24">
        <v>2333</v>
      </c>
      <c r="F669" s="24">
        <v>300698</v>
      </c>
    </row>
    <row r="670" spans="1:6" x14ac:dyDescent="0.35">
      <c r="A670" s="130">
        <v>43097</v>
      </c>
      <c r="B670" s="24" t="s">
        <v>629</v>
      </c>
      <c r="C670" s="24" t="s">
        <v>245</v>
      </c>
      <c r="D670" s="24" t="s">
        <v>281</v>
      </c>
      <c r="E670" s="24">
        <v>2603</v>
      </c>
      <c r="F670" s="24">
        <v>300838</v>
      </c>
    </row>
    <row r="671" spans="1:6" x14ac:dyDescent="0.35">
      <c r="A671" s="130">
        <v>43098</v>
      </c>
      <c r="B671" s="24" t="s">
        <v>630</v>
      </c>
      <c r="C671" s="24" t="s">
        <v>245</v>
      </c>
      <c r="D671" s="24" t="s">
        <v>281</v>
      </c>
      <c r="E671" s="24">
        <v>1035</v>
      </c>
      <c r="F671" s="24">
        <v>301096</v>
      </c>
    </row>
    <row r="672" spans="1:6" x14ac:dyDescent="0.35">
      <c r="A672" s="130">
        <v>43099</v>
      </c>
      <c r="B672" s="24" t="s">
        <v>299</v>
      </c>
      <c r="C672" s="24" t="s">
        <v>245</v>
      </c>
      <c r="D672" s="24" t="s">
        <v>281</v>
      </c>
      <c r="E672" s="24">
        <v>3586</v>
      </c>
      <c r="F672" s="24">
        <v>356551</v>
      </c>
    </row>
    <row r="673" spans="1:6" x14ac:dyDescent="0.35">
      <c r="A673" s="130">
        <v>43100</v>
      </c>
      <c r="B673" s="24" t="s">
        <v>300</v>
      </c>
      <c r="C673" s="24" t="s">
        <v>245</v>
      </c>
      <c r="D673" s="24" t="s">
        <v>281</v>
      </c>
      <c r="E673" s="24">
        <v>4900</v>
      </c>
      <c r="F673" s="24">
        <v>356627</v>
      </c>
    </row>
    <row r="674" spans="1:6" x14ac:dyDescent="0.35">
      <c r="A674" s="130">
        <v>43101</v>
      </c>
      <c r="B674" s="24" t="s">
        <v>300</v>
      </c>
      <c r="C674" s="24" t="s">
        <v>245</v>
      </c>
      <c r="D674" s="24" t="s">
        <v>281</v>
      </c>
      <c r="E674" s="24">
        <v>4063</v>
      </c>
      <c r="F674" s="24">
        <v>324942</v>
      </c>
    </row>
    <row r="675" spans="1:6" x14ac:dyDescent="0.35">
      <c r="A675" s="130">
        <v>43102</v>
      </c>
      <c r="B675" s="24" t="s">
        <v>301</v>
      </c>
      <c r="C675" s="24" t="s">
        <v>245</v>
      </c>
      <c r="D675" s="24" t="s">
        <v>281</v>
      </c>
      <c r="E675" s="24">
        <v>3376</v>
      </c>
      <c r="F675" s="24">
        <v>304519</v>
      </c>
    </row>
    <row r="676" spans="1:6" x14ac:dyDescent="0.35">
      <c r="A676" s="130">
        <v>43103</v>
      </c>
      <c r="B676" s="24" t="s">
        <v>301</v>
      </c>
      <c r="C676" s="24" t="s">
        <v>245</v>
      </c>
      <c r="D676" s="24" t="s">
        <v>281</v>
      </c>
      <c r="E676" s="24">
        <v>4960</v>
      </c>
      <c r="F676" s="24">
        <v>348553</v>
      </c>
    </row>
    <row r="677" spans="1:6" x14ac:dyDescent="0.35">
      <c r="A677" s="130">
        <v>43104</v>
      </c>
      <c r="B677" s="24" t="s">
        <v>301</v>
      </c>
      <c r="C677" s="24" t="s">
        <v>245</v>
      </c>
      <c r="D677" s="24" t="s">
        <v>281</v>
      </c>
      <c r="E677" s="24">
        <v>3532</v>
      </c>
      <c r="F677" s="24">
        <v>348560</v>
      </c>
    </row>
    <row r="678" spans="1:6" x14ac:dyDescent="0.35">
      <c r="A678" s="130">
        <v>43105</v>
      </c>
      <c r="B678" s="24" t="s">
        <v>302</v>
      </c>
      <c r="C678" s="24" t="s">
        <v>245</v>
      </c>
      <c r="D678" s="24" t="s">
        <v>281</v>
      </c>
      <c r="E678" s="24">
        <v>3700</v>
      </c>
      <c r="F678" s="24">
        <v>344749</v>
      </c>
    </row>
    <row r="679" spans="1:6" x14ac:dyDescent="0.35">
      <c r="A679" s="130">
        <v>43106</v>
      </c>
      <c r="B679" s="24" t="s">
        <v>302</v>
      </c>
      <c r="C679" s="24" t="s">
        <v>245</v>
      </c>
      <c r="D679" s="24" t="s">
        <v>281</v>
      </c>
      <c r="E679" s="24">
        <v>4152</v>
      </c>
      <c r="F679" s="24">
        <v>300528</v>
      </c>
    </row>
    <row r="680" spans="1:6" x14ac:dyDescent="0.35">
      <c r="A680" s="130">
        <v>43107</v>
      </c>
      <c r="B680" s="24" t="s">
        <v>305</v>
      </c>
      <c r="C680" s="24" t="s">
        <v>245</v>
      </c>
      <c r="D680" s="24" t="s">
        <v>281</v>
      </c>
      <c r="E680" s="24">
        <v>3037</v>
      </c>
      <c r="F680" s="24">
        <v>320501</v>
      </c>
    </row>
    <row r="681" spans="1:6" x14ac:dyDescent="0.35">
      <c r="A681" s="130">
        <v>43108</v>
      </c>
      <c r="B681" s="24" t="s">
        <v>305</v>
      </c>
      <c r="C681" s="24" t="s">
        <v>245</v>
      </c>
      <c r="D681" s="24" t="s">
        <v>281</v>
      </c>
      <c r="E681" s="24">
        <v>1368</v>
      </c>
      <c r="F681" s="24">
        <v>300542</v>
      </c>
    </row>
    <row r="682" spans="1:6" x14ac:dyDescent="0.35">
      <c r="A682" s="130">
        <v>43109</v>
      </c>
      <c r="B682" s="24" t="s">
        <v>306</v>
      </c>
      <c r="C682" s="24" t="s">
        <v>245</v>
      </c>
      <c r="D682" s="24" t="s">
        <v>281</v>
      </c>
      <c r="E682" s="24">
        <v>3798</v>
      </c>
      <c r="F682" s="24">
        <v>316500</v>
      </c>
    </row>
    <row r="683" spans="1:6" x14ac:dyDescent="0.35">
      <c r="A683" s="130">
        <v>43110</v>
      </c>
      <c r="B683" s="24" t="s">
        <v>306</v>
      </c>
      <c r="C683" s="24" t="s">
        <v>245</v>
      </c>
      <c r="D683" s="24" t="s">
        <v>281</v>
      </c>
      <c r="E683" s="24">
        <v>1809</v>
      </c>
      <c r="F683" s="24">
        <v>348568</v>
      </c>
    </row>
    <row r="684" spans="1:6" x14ac:dyDescent="0.35">
      <c r="A684" s="130">
        <v>43111</v>
      </c>
      <c r="B684" s="24" t="s">
        <v>306</v>
      </c>
      <c r="C684" s="24" t="s">
        <v>245</v>
      </c>
      <c r="D684" s="24" t="s">
        <v>281</v>
      </c>
      <c r="E684" s="24">
        <v>2353</v>
      </c>
      <c r="F684" s="24">
        <v>328840</v>
      </c>
    </row>
    <row r="685" spans="1:6" x14ac:dyDescent="0.35">
      <c r="A685" s="130">
        <v>43112</v>
      </c>
      <c r="B685" s="24" t="s">
        <v>307</v>
      </c>
      <c r="C685" s="24" t="s">
        <v>245</v>
      </c>
      <c r="D685" s="24" t="s">
        <v>281</v>
      </c>
      <c r="E685" s="24">
        <v>1785</v>
      </c>
      <c r="F685" s="24">
        <v>300599</v>
      </c>
    </row>
    <row r="686" spans="1:6" x14ac:dyDescent="0.35">
      <c r="A686" s="130">
        <v>43113</v>
      </c>
      <c r="B686" s="24" t="s">
        <v>308</v>
      </c>
      <c r="C686" s="24" t="s">
        <v>245</v>
      </c>
      <c r="D686" s="24" t="s">
        <v>281</v>
      </c>
      <c r="E686" s="24">
        <v>3963</v>
      </c>
      <c r="F686" s="24">
        <v>300781</v>
      </c>
    </row>
    <row r="687" spans="1:6" x14ac:dyDescent="0.35">
      <c r="A687" s="130">
        <v>43114</v>
      </c>
      <c r="B687" s="24" t="s">
        <v>308</v>
      </c>
      <c r="C687" s="24" t="s">
        <v>245</v>
      </c>
      <c r="D687" s="24" t="s">
        <v>281</v>
      </c>
      <c r="E687" s="24">
        <v>3826</v>
      </c>
      <c r="F687" s="24">
        <v>324944</v>
      </c>
    </row>
    <row r="688" spans="1:6" x14ac:dyDescent="0.35">
      <c r="A688" s="130">
        <v>43115</v>
      </c>
      <c r="B688" s="24" t="s">
        <v>309</v>
      </c>
      <c r="C688" s="24" t="s">
        <v>245</v>
      </c>
      <c r="D688" s="24" t="s">
        <v>281</v>
      </c>
      <c r="E688" s="24">
        <v>4981</v>
      </c>
      <c r="F688" s="24">
        <v>324945</v>
      </c>
    </row>
    <row r="689" spans="1:6" x14ac:dyDescent="0.35">
      <c r="A689" s="130">
        <v>43116</v>
      </c>
      <c r="B689" s="24" t="s">
        <v>309</v>
      </c>
      <c r="C689" s="24" t="s">
        <v>245</v>
      </c>
      <c r="D689" s="24" t="s">
        <v>281</v>
      </c>
      <c r="E689" s="24">
        <v>3094</v>
      </c>
      <c r="F689" s="24">
        <v>324946</v>
      </c>
    </row>
    <row r="690" spans="1:6" x14ac:dyDescent="0.35">
      <c r="A690" s="130">
        <v>43117</v>
      </c>
      <c r="B690" s="24" t="s">
        <v>310</v>
      </c>
      <c r="C690" s="24" t="s">
        <v>245</v>
      </c>
      <c r="D690" s="24" t="s">
        <v>281</v>
      </c>
      <c r="E690" s="24">
        <v>2359</v>
      </c>
      <c r="F690" s="24">
        <v>324947</v>
      </c>
    </row>
    <row r="691" spans="1:6" x14ac:dyDescent="0.35">
      <c r="A691" s="130">
        <v>43118</v>
      </c>
      <c r="B691" s="24" t="s">
        <v>310</v>
      </c>
      <c r="C691" s="24" t="s">
        <v>245</v>
      </c>
      <c r="D691" s="24" t="s">
        <v>281</v>
      </c>
      <c r="E691" s="24">
        <v>2530</v>
      </c>
      <c r="F691" s="24">
        <v>324949</v>
      </c>
    </row>
    <row r="692" spans="1:6" x14ac:dyDescent="0.35">
      <c r="A692" s="130">
        <v>43119</v>
      </c>
      <c r="B692" s="24" t="s">
        <v>311</v>
      </c>
      <c r="C692" s="24" t="s">
        <v>245</v>
      </c>
      <c r="D692" s="24" t="s">
        <v>281</v>
      </c>
      <c r="E692" s="24">
        <v>3276</v>
      </c>
      <c r="F692" s="24">
        <v>324952</v>
      </c>
    </row>
    <row r="693" spans="1:6" x14ac:dyDescent="0.35">
      <c r="A693" s="130">
        <v>43120</v>
      </c>
      <c r="B693" s="24" t="s">
        <v>311</v>
      </c>
      <c r="C693" s="24" t="s">
        <v>245</v>
      </c>
      <c r="D693" s="24" t="s">
        <v>281</v>
      </c>
      <c r="E693" s="24">
        <v>3793</v>
      </c>
      <c r="F693" s="24">
        <v>324955</v>
      </c>
    </row>
    <row r="694" spans="1:6" x14ac:dyDescent="0.35">
      <c r="A694" s="130">
        <v>43121</v>
      </c>
      <c r="B694" s="24" t="s">
        <v>312</v>
      </c>
      <c r="C694" s="24" t="s">
        <v>245</v>
      </c>
      <c r="D694" s="24" t="s">
        <v>281</v>
      </c>
      <c r="E694" s="24">
        <v>3316</v>
      </c>
      <c r="F694" s="24">
        <v>324961</v>
      </c>
    </row>
    <row r="695" spans="1:6" x14ac:dyDescent="0.35">
      <c r="A695" s="130">
        <v>43122</v>
      </c>
      <c r="B695" s="24" t="s">
        <v>312</v>
      </c>
      <c r="C695" s="24" t="s">
        <v>245</v>
      </c>
      <c r="D695" s="24" t="s">
        <v>281</v>
      </c>
      <c r="E695" s="24">
        <v>1046</v>
      </c>
      <c r="F695" s="24">
        <v>324962</v>
      </c>
    </row>
    <row r="696" spans="1:6" x14ac:dyDescent="0.35">
      <c r="A696" s="130">
        <v>43123</v>
      </c>
      <c r="B696" s="24" t="s">
        <v>124</v>
      </c>
      <c r="C696" s="24" t="s">
        <v>245</v>
      </c>
      <c r="D696" s="24" t="s">
        <v>281</v>
      </c>
      <c r="E696" s="24">
        <v>2437</v>
      </c>
      <c r="F696" s="24">
        <v>324963</v>
      </c>
    </row>
    <row r="697" spans="1:6" x14ac:dyDescent="0.35">
      <c r="A697" s="130">
        <v>43124</v>
      </c>
      <c r="B697" s="24" t="s">
        <v>124</v>
      </c>
      <c r="C697" s="24" t="s">
        <v>245</v>
      </c>
      <c r="D697" s="24" t="s">
        <v>281</v>
      </c>
      <c r="E697" s="24">
        <v>2055</v>
      </c>
      <c r="F697" s="24">
        <v>324964</v>
      </c>
    </row>
    <row r="698" spans="1:6" x14ac:dyDescent="0.35">
      <c r="A698" s="130">
        <v>43125</v>
      </c>
      <c r="B698" s="24" t="s">
        <v>313</v>
      </c>
      <c r="C698" s="24" t="s">
        <v>245</v>
      </c>
      <c r="D698" s="24" t="s">
        <v>281</v>
      </c>
      <c r="E698" s="24">
        <v>3737</v>
      </c>
      <c r="F698" s="24">
        <v>324965</v>
      </c>
    </row>
    <row r="699" spans="1:6" x14ac:dyDescent="0.35">
      <c r="A699" s="130">
        <v>43126</v>
      </c>
      <c r="B699" s="24" t="s">
        <v>313</v>
      </c>
      <c r="C699" s="24" t="s">
        <v>245</v>
      </c>
      <c r="D699" s="24" t="s">
        <v>281</v>
      </c>
      <c r="E699" s="24">
        <v>1988</v>
      </c>
      <c r="F699" s="24">
        <v>324966</v>
      </c>
    </row>
    <row r="700" spans="1:6" x14ac:dyDescent="0.35">
      <c r="A700" s="130">
        <v>43127</v>
      </c>
      <c r="B700" s="24" t="s">
        <v>315</v>
      </c>
      <c r="C700" s="24" t="s">
        <v>245</v>
      </c>
      <c r="D700" s="24" t="s">
        <v>281</v>
      </c>
      <c r="E700" s="24">
        <v>4507</v>
      </c>
      <c r="F700" s="24">
        <v>324531</v>
      </c>
    </row>
    <row r="701" spans="1:6" x14ac:dyDescent="0.35">
      <c r="A701" s="130">
        <v>43128</v>
      </c>
      <c r="B701" s="24" t="s">
        <v>315</v>
      </c>
      <c r="C701" s="24" t="s">
        <v>245</v>
      </c>
      <c r="D701" s="24" t="s">
        <v>281</v>
      </c>
      <c r="E701" s="24">
        <v>4529</v>
      </c>
      <c r="F701" s="24">
        <v>308542</v>
      </c>
    </row>
    <row r="702" spans="1:6" x14ac:dyDescent="0.35">
      <c r="A702" s="130">
        <v>43129</v>
      </c>
      <c r="B702" s="24" t="s">
        <v>631</v>
      </c>
      <c r="C702" s="24" t="s">
        <v>245</v>
      </c>
      <c r="D702" s="24" t="s">
        <v>281</v>
      </c>
      <c r="E702" s="24">
        <v>4374</v>
      </c>
      <c r="F702" s="24">
        <v>300779</v>
      </c>
    </row>
    <row r="703" spans="1:6" x14ac:dyDescent="0.35">
      <c r="A703" s="130">
        <v>43130</v>
      </c>
      <c r="B703" s="24" t="s">
        <v>317</v>
      </c>
      <c r="C703" s="24" t="s">
        <v>245</v>
      </c>
      <c r="D703" s="24" t="s">
        <v>281</v>
      </c>
      <c r="E703" s="24">
        <v>1115</v>
      </c>
      <c r="F703" s="24">
        <v>300893</v>
      </c>
    </row>
    <row r="704" spans="1:6" x14ac:dyDescent="0.35">
      <c r="A704" s="130">
        <v>43131</v>
      </c>
      <c r="B704" s="24" t="s">
        <v>317</v>
      </c>
      <c r="C704" s="24" t="s">
        <v>245</v>
      </c>
      <c r="D704" s="24" t="s">
        <v>281</v>
      </c>
      <c r="E704" s="24">
        <v>4241</v>
      </c>
      <c r="F704" s="24">
        <v>344519</v>
      </c>
    </row>
    <row r="705" spans="1:6" x14ac:dyDescent="0.35">
      <c r="A705" s="130">
        <v>43132</v>
      </c>
      <c r="B705" s="24" t="s">
        <v>318</v>
      </c>
      <c r="C705" s="24" t="s">
        <v>245</v>
      </c>
      <c r="D705" s="24" t="s">
        <v>281</v>
      </c>
      <c r="E705" s="24">
        <v>3483</v>
      </c>
      <c r="F705" s="24">
        <v>344520</v>
      </c>
    </row>
    <row r="706" spans="1:6" x14ac:dyDescent="0.35">
      <c r="A706" s="130">
        <v>43133</v>
      </c>
      <c r="B706" s="24" t="s">
        <v>319</v>
      </c>
      <c r="C706" s="24" t="s">
        <v>245</v>
      </c>
      <c r="D706" s="24" t="s">
        <v>281</v>
      </c>
      <c r="E706" s="24">
        <v>3220</v>
      </c>
      <c r="F706" s="24">
        <v>332551</v>
      </c>
    </row>
    <row r="707" spans="1:6" x14ac:dyDescent="0.35">
      <c r="A707" s="130">
        <v>43134</v>
      </c>
      <c r="B707" s="24" t="s">
        <v>319</v>
      </c>
      <c r="C707" s="24" t="s">
        <v>245</v>
      </c>
      <c r="D707" s="24" t="s">
        <v>281</v>
      </c>
      <c r="E707" s="24">
        <v>1466</v>
      </c>
      <c r="F707" s="24">
        <v>332583</v>
      </c>
    </row>
    <row r="708" spans="1:6" x14ac:dyDescent="0.35">
      <c r="A708" s="130">
        <v>43135</v>
      </c>
      <c r="B708" s="24" t="s">
        <v>322</v>
      </c>
      <c r="C708" s="24" t="s">
        <v>245</v>
      </c>
      <c r="D708" s="24" t="s">
        <v>281</v>
      </c>
      <c r="E708" s="24">
        <v>4143</v>
      </c>
      <c r="F708" s="24">
        <v>332657</v>
      </c>
    </row>
    <row r="709" spans="1:6" x14ac:dyDescent="0.35">
      <c r="A709" s="130">
        <v>43136</v>
      </c>
      <c r="B709" s="24" t="s">
        <v>322</v>
      </c>
      <c r="C709" s="24" t="s">
        <v>245</v>
      </c>
      <c r="D709" s="24" t="s">
        <v>281</v>
      </c>
      <c r="E709" s="24">
        <v>3567</v>
      </c>
      <c r="F709" s="24">
        <v>332659</v>
      </c>
    </row>
    <row r="710" spans="1:6" x14ac:dyDescent="0.35">
      <c r="A710" s="130">
        <v>43137</v>
      </c>
      <c r="B710" s="24" t="s">
        <v>323</v>
      </c>
      <c r="C710" s="24" t="s">
        <v>245</v>
      </c>
      <c r="D710" s="24" t="s">
        <v>281</v>
      </c>
      <c r="E710" s="24">
        <v>4281</v>
      </c>
      <c r="F710" s="24">
        <v>332671</v>
      </c>
    </row>
    <row r="711" spans="1:6" x14ac:dyDescent="0.35">
      <c r="A711" s="130">
        <v>43138</v>
      </c>
      <c r="B711" s="24" t="s">
        <v>632</v>
      </c>
      <c r="C711" s="24" t="s">
        <v>245</v>
      </c>
      <c r="D711" s="24" t="s">
        <v>281</v>
      </c>
      <c r="E711" s="24">
        <v>4477</v>
      </c>
      <c r="F711" s="24">
        <v>332672</v>
      </c>
    </row>
    <row r="712" spans="1:6" x14ac:dyDescent="0.35">
      <c r="A712" s="130">
        <v>43139</v>
      </c>
      <c r="B712" s="24" t="s">
        <v>633</v>
      </c>
      <c r="C712" s="24" t="s">
        <v>245</v>
      </c>
      <c r="D712" s="24" t="s">
        <v>281</v>
      </c>
      <c r="E712" s="24">
        <v>2987</v>
      </c>
      <c r="F712" s="24">
        <v>332679</v>
      </c>
    </row>
    <row r="713" spans="1:6" x14ac:dyDescent="0.35">
      <c r="A713" s="130">
        <v>43140</v>
      </c>
      <c r="B713" s="24" t="s">
        <v>633</v>
      </c>
      <c r="C713" s="24" t="s">
        <v>245</v>
      </c>
      <c r="D713" s="24" t="s">
        <v>281</v>
      </c>
      <c r="E713" s="24">
        <v>2071</v>
      </c>
      <c r="F713" s="24">
        <v>332689</v>
      </c>
    </row>
    <row r="714" spans="1:6" x14ac:dyDescent="0.35">
      <c r="A714" s="130">
        <v>43141</v>
      </c>
      <c r="B714" s="24" t="s">
        <v>326</v>
      </c>
      <c r="C714" s="24" t="s">
        <v>245</v>
      </c>
      <c r="D714" s="24" t="s">
        <v>281</v>
      </c>
      <c r="E714" s="24">
        <v>3657</v>
      </c>
      <c r="F714" s="24">
        <v>332690</v>
      </c>
    </row>
    <row r="715" spans="1:6" x14ac:dyDescent="0.35">
      <c r="A715" s="130">
        <v>43142</v>
      </c>
      <c r="B715" s="24" t="s">
        <v>326</v>
      </c>
      <c r="C715" s="24" t="s">
        <v>245</v>
      </c>
      <c r="D715" s="24" t="s">
        <v>281</v>
      </c>
      <c r="E715" s="24">
        <v>4454</v>
      </c>
      <c r="F715" s="24">
        <v>332698</v>
      </c>
    </row>
    <row r="716" spans="1:6" x14ac:dyDescent="0.35">
      <c r="A716" s="130">
        <v>43143</v>
      </c>
      <c r="B716" s="24" t="s">
        <v>327</v>
      </c>
      <c r="C716" s="24" t="s">
        <v>245</v>
      </c>
      <c r="D716" s="24" t="s">
        <v>281</v>
      </c>
      <c r="E716" s="24">
        <v>3022</v>
      </c>
      <c r="F716" s="24">
        <v>332701</v>
      </c>
    </row>
    <row r="717" spans="1:6" x14ac:dyDescent="0.35">
      <c r="A717" s="130">
        <v>43144</v>
      </c>
      <c r="B717" s="24" t="s">
        <v>327</v>
      </c>
      <c r="C717" s="24" t="s">
        <v>245</v>
      </c>
      <c r="D717" s="24" t="s">
        <v>281</v>
      </c>
      <c r="E717" s="24">
        <v>3803</v>
      </c>
      <c r="F717" s="24">
        <v>332702</v>
      </c>
    </row>
    <row r="718" spans="1:6" x14ac:dyDescent="0.35">
      <c r="A718" s="130">
        <v>43145</v>
      </c>
      <c r="B718" s="24" t="s">
        <v>328</v>
      </c>
      <c r="C718" s="24" t="s">
        <v>245</v>
      </c>
      <c r="D718" s="24" t="s">
        <v>281</v>
      </c>
      <c r="E718" s="24">
        <v>1817</v>
      </c>
      <c r="F718" s="24">
        <v>332703</v>
      </c>
    </row>
    <row r="719" spans="1:6" x14ac:dyDescent="0.35">
      <c r="A719" s="130">
        <v>43146</v>
      </c>
      <c r="B719" s="24" t="s">
        <v>328</v>
      </c>
      <c r="C719" s="24" t="s">
        <v>245</v>
      </c>
      <c r="D719" s="24" t="s">
        <v>281</v>
      </c>
      <c r="E719" s="24">
        <v>3357</v>
      </c>
      <c r="F719" s="24">
        <v>332704</v>
      </c>
    </row>
    <row r="720" spans="1:6" x14ac:dyDescent="0.35">
      <c r="A720" s="130">
        <v>43147</v>
      </c>
      <c r="B720" s="24" t="s">
        <v>329</v>
      </c>
      <c r="C720" s="24" t="s">
        <v>245</v>
      </c>
      <c r="D720" s="24" t="s">
        <v>281</v>
      </c>
      <c r="E720" s="24">
        <v>3140</v>
      </c>
      <c r="F720" s="24">
        <v>332705</v>
      </c>
    </row>
    <row r="721" spans="1:6" x14ac:dyDescent="0.35">
      <c r="A721" s="130">
        <v>43148</v>
      </c>
      <c r="B721" s="24" t="s">
        <v>330</v>
      </c>
      <c r="C721" s="24" t="s">
        <v>245</v>
      </c>
      <c r="D721" s="24" t="s">
        <v>281</v>
      </c>
      <c r="E721" s="24">
        <v>3360</v>
      </c>
      <c r="F721" s="24">
        <v>332709</v>
      </c>
    </row>
    <row r="722" spans="1:6" x14ac:dyDescent="0.35">
      <c r="A722" s="130">
        <v>43149</v>
      </c>
      <c r="B722" s="24" t="s">
        <v>330</v>
      </c>
      <c r="C722" s="24" t="s">
        <v>245</v>
      </c>
      <c r="D722" s="24" t="s">
        <v>281</v>
      </c>
      <c r="E722" s="24">
        <v>4665</v>
      </c>
      <c r="F722" s="24">
        <v>332710</v>
      </c>
    </row>
    <row r="723" spans="1:6" x14ac:dyDescent="0.35">
      <c r="A723" s="130">
        <v>43150</v>
      </c>
      <c r="B723" s="24" t="s">
        <v>331</v>
      </c>
      <c r="C723" s="24" t="s">
        <v>245</v>
      </c>
      <c r="D723" s="24" t="s">
        <v>281</v>
      </c>
      <c r="E723" s="24">
        <v>3490</v>
      </c>
      <c r="F723" s="24">
        <v>332714</v>
      </c>
    </row>
    <row r="724" spans="1:6" x14ac:dyDescent="0.35">
      <c r="A724" s="130">
        <v>43151</v>
      </c>
      <c r="B724" s="24" t="s">
        <v>331</v>
      </c>
      <c r="C724" s="24" t="s">
        <v>245</v>
      </c>
      <c r="D724" s="24" t="s">
        <v>281</v>
      </c>
      <c r="E724" s="24">
        <v>2237</v>
      </c>
      <c r="F724" s="24">
        <v>332720</v>
      </c>
    </row>
    <row r="725" spans="1:6" x14ac:dyDescent="0.35">
      <c r="A725" s="130">
        <v>43152</v>
      </c>
      <c r="B725" s="24" t="s">
        <v>332</v>
      </c>
      <c r="C725" s="24" t="s">
        <v>245</v>
      </c>
      <c r="D725" s="24" t="s">
        <v>281</v>
      </c>
      <c r="E725" s="24">
        <v>3843</v>
      </c>
      <c r="F725" s="24">
        <v>332726</v>
      </c>
    </row>
    <row r="726" spans="1:6" x14ac:dyDescent="0.35">
      <c r="A726" s="130">
        <v>43153</v>
      </c>
      <c r="B726" s="24" t="s">
        <v>332</v>
      </c>
      <c r="C726" s="24" t="s">
        <v>245</v>
      </c>
      <c r="D726" s="24" t="s">
        <v>281</v>
      </c>
      <c r="E726" s="24">
        <v>4683</v>
      </c>
      <c r="F726" s="24">
        <v>332727</v>
      </c>
    </row>
    <row r="727" spans="1:6" x14ac:dyDescent="0.35">
      <c r="A727" s="130">
        <v>43154</v>
      </c>
      <c r="B727" s="24" t="s">
        <v>333</v>
      </c>
      <c r="C727" s="24" t="s">
        <v>245</v>
      </c>
      <c r="D727" s="24" t="s">
        <v>281</v>
      </c>
      <c r="E727" s="24">
        <v>3472</v>
      </c>
      <c r="F727" s="24">
        <v>332729</v>
      </c>
    </row>
    <row r="728" spans="1:6" x14ac:dyDescent="0.35">
      <c r="A728" s="130">
        <v>43155</v>
      </c>
      <c r="B728" s="24" t="s">
        <v>333</v>
      </c>
      <c r="C728" s="24" t="s">
        <v>245</v>
      </c>
      <c r="D728" s="24" t="s">
        <v>281</v>
      </c>
      <c r="E728" s="24">
        <v>3940</v>
      </c>
      <c r="F728" s="24">
        <v>332732</v>
      </c>
    </row>
    <row r="729" spans="1:6" x14ac:dyDescent="0.35">
      <c r="A729" s="130">
        <v>43156</v>
      </c>
      <c r="B729" s="24" t="s">
        <v>334</v>
      </c>
      <c r="C729" s="24" t="s">
        <v>245</v>
      </c>
      <c r="D729" s="24" t="s">
        <v>281</v>
      </c>
      <c r="E729" s="24">
        <v>1795</v>
      </c>
      <c r="F729" s="24">
        <v>336588</v>
      </c>
    </row>
    <row r="730" spans="1:6" x14ac:dyDescent="0.35">
      <c r="A730" s="130">
        <v>43157</v>
      </c>
      <c r="B730" s="24" t="s">
        <v>334</v>
      </c>
      <c r="C730" s="24" t="s">
        <v>245</v>
      </c>
      <c r="D730" s="24" t="s">
        <v>281</v>
      </c>
      <c r="E730" s="24">
        <v>1373</v>
      </c>
      <c r="F730" s="24">
        <v>332637</v>
      </c>
    </row>
    <row r="731" spans="1:6" x14ac:dyDescent="0.35">
      <c r="A731" s="130">
        <v>43158</v>
      </c>
      <c r="B731" s="24" t="s">
        <v>335</v>
      </c>
      <c r="C731" s="24" t="s">
        <v>245</v>
      </c>
      <c r="D731" s="24" t="s">
        <v>281</v>
      </c>
      <c r="E731" s="24">
        <v>3852</v>
      </c>
      <c r="F731" s="24">
        <v>332652</v>
      </c>
    </row>
    <row r="732" spans="1:6" x14ac:dyDescent="0.35">
      <c r="A732" s="130">
        <v>43159</v>
      </c>
      <c r="B732" s="24" t="s">
        <v>335</v>
      </c>
      <c r="C732" s="24" t="s">
        <v>245</v>
      </c>
      <c r="D732" s="24" t="s">
        <v>281</v>
      </c>
      <c r="E732" s="24">
        <v>4040</v>
      </c>
      <c r="F732" s="24">
        <v>332678</v>
      </c>
    </row>
    <row r="733" spans="1:6" x14ac:dyDescent="0.35">
      <c r="A733" s="130">
        <v>43160</v>
      </c>
      <c r="B733" s="24" t="s">
        <v>336</v>
      </c>
      <c r="C733" s="24" t="s">
        <v>245</v>
      </c>
      <c r="D733" s="24" t="s">
        <v>281</v>
      </c>
      <c r="E733" s="24">
        <v>4511</v>
      </c>
      <c r="F733" s="24">
        <v>332681</v>
      </c>
    </row>
    <row r="734" spans="1:6" x14ac:dyDescent="0.35">
      <c r="A734" s="130">
        <v>43161</v>
      </c>
      <c r="B734" s="24" t="s">
        <v>336</v>
      </c>
      <c r="C734" s="24" t="s">
        <v>245</v>
      </c>
      <c r="D734" s="24" t="s">
        <v>281</v>
      </c>
      <c r="E734" s="24">
        <v>1648</v>
      </c>
      <c r="F734" s="24">
        <v>332687</v>
      </c>
    </row>
    <row r="735" spans="1:6" x14ac:dyDescent="0.35">
      <c r="A735" s="130">
        <v>43162</v>
      </c>
      <c r="B735" s="24" t="s">
        <v>635</v>
      </c>
      <c r="C735" s="24" t="s">
        <v>245</v>
      </c>
      <c r="D735" s="24" t="s">
        <v>281</v>
      </c>
      <c r="E735" s="24">
        <v>3018</v>
      </c>
      <c r="F735" s="24">
        <v>332706</v>
      </c>
    </row>
    <row r="736" spans="1:6" x14ac:dyDescent="0.35">
      <c r="A736" s="130">
        <v>43163</v>
      </c>
      <c r="B736" s="24" t="s">
        <v>636</v>
      </c>
      <c r="C736" s="24" t="s">
        <v>245</v>
      </c>
      <c r="D736" s="24" t="s">
        <v>281</v>
      </c>
      <c r="E736" s="24">
        <v>1318</v>
      </c>
      <c r="F736" s="24">
        <v>332707</v>
      </c>
    </row>
    <row r="737" spans="1:6" x14ac:dyDescent="0.35">
      <c r="A737" s="130">
        <v>43164</v>
      </c>
      <c r="B737" s="24" t="s">
        <v>636</v>
      </c>
      <c r="C737" s="24" t="s">
        <v>245</v>
      </c>
      <c r="D737" s="24" t="s">
        <v>281</v>
      </c>
      <c r="E737" s="24">
        <v>2788</v>
      </c>
      <c r="F737" s="24">
        <v>332711</v>
      </c>
    </row>
    <row r="738" spans="1:6" x14ac:dyDescent="0.35">
      <c r="A738" s="130">
        <v>43165</v>
      </c>
      <c r="B738" s="24" t="s">
        <v>637</v>
      </c>
      <c r="C738" s="24" t="s">
        <v>245</v>
      </c>
      <c r="D738" s="24" t="s">
        <v>281</v>
      </c>
      <c r="E738" s="24">
        <v>1794</v>
      </c>
      <c r="F738" s="24">
        <v>332712</v>
      </c>
    </row>
    <row r="739" spans="1:6" x14ac:dyDescent="0.35">
      <c r="A739" s="130">
        <v>43166</v>
      </c>
      <c r="B739" s="24" t="s">
        <v>637</v>
      </c>
      <c r="C739" s="24" t="s">
        <v>245</v>
      </c>
      <c r="D739" s="24" t="s">
        <v>281</v>
      </c>
      <c r="E739" s="24">
        <v>3576</v>
      </c>
      <c r="F739" s="24">
        <v>332718</v>
      </c>
    </row>
    <row r="740" spans="1:6" x14ac:dyDescent="0.35">
      <c r="A740" s="130">
        <v>43167</v>
      </c>
      <c r="B740" s="24" t="s">
        <v>638</v>
      </c>
      <c r="C740" s="24" t="s">
        <v>245</v>
      </c>
      <c r="D740" s="24" t="s">
        <v>281</v>
      </c>
      <c r="E740" s="24">
        <v>4964</v>
      </c>
      <c r="F740" s="24">
        <v>332719</v>
      </c>
    </row>
    <row r="741" spans="1:6" x14ac:dyDescent="0.35">
      <c r="A741" s="130">
        <v>43168</v>
      </c>
      <c r="B741" s="24" t="s">
        <v>638</v>
      </c>
      <c r="C741" s="24" t="s">
        <v>245</v>
      </c>
      <c r="D741" s="24" t="s">
        <v>281</v>
      </c>
      <c r="E741" s="24">
        <v>2672</v>
      </c>
      <c r="F741" s="24">
        <v>336534</v>
      </c>
    </row>
    <row r="742" spans="1:6" x14ac:dyDescent="0.35">
      <c r="A742" s="130">
        <v>43169</v>
      </c>
      <c r="B742" s="24" t="s">
        <v>639</v>
      </c>
      <c r="C742" s="24" t="s">
        <v>245</v>
      </c>
      <c r="D742" s="24" t="s">
        <v>281</v>
      </c>
      <c r="E742" s="24">
        <v>1173</v>
      </c>
      <c r="F742" s="24">
        <v>332633</v>
      </c>
    </row>
    <row r="743" spans="1:6" x14ac:dyDescent="0.35">
      <c r="A743" s="130">
        <v>43170</v>
      </c>
      <c r="B743" s="24" t="s">
        <v>640</v>
      </c>
      <c r="C743" s="24" t="s">
        <v>245</v>
      </c>
      <c r="D743" s="24" t="s">
        <v>281</v>
      </c>
      <c r="E743" s="24">
        <v>3480</v>
      </c>
      <c r="F743" s="24">
        <v>332662</v>
      </c>
    </row>
    <row r="744" spans="1:6" x14ac:dyDescent="0.35">
      <c r="A744" s="130">
        <v>43171</v>
      </c>
      <c r="B744" s="24" t="s">
        <v>641</v>
      </c>
      <c r="C744" s="24" t="s">
        <v>245</v>
      </c>
      <c r="D744" s="24" t="s">
        <v>281</v>
      </c>
      <c r="E744" s="24">
        <v>1788</v>
      </c>
      <c r="F744" s="24">
        <v>332664</v>
      </c>
    </row>
    <row r="745" spans="1:6" x14ac:dyDescent="0.35">
      <c r="A745" s="130">
        <v>43172</v>
      </c>
      <c r="B745" s="24" t="s">
        <v>641</v>
      </c>
      <c r="C745" s="24" t="s">
        <v>245</v>
      </c>
      <c r="D745" s="24" t="s">
        <v>281</v>
      </c>
      <c r="E745" s="24">
        <v>3275</v>
      </c>
      <c r="F745" s="24">
        <v>332666</v>
      </c>
    </row>
    <row r="746" spans="1:6" x14ac:dyDescent="0.35">
      <c r="A746" s="130">
        <v>43173</v>
      </c>
      <c r="B746" s="24" t="s">
        <v>641</v>
      </c>
      <c r="C746" s="24" t="s">
        <v>245</v>
      </c>
      <c r="D746" s="24" t="s">
        <v>281</v>
      </c>
      <c r="E746" s="24">
        <v>2876</v>
      </c>
      <c r="F746" s="24">
        <v>332675</v>
      </c>
    </row>
    <row r="747" spans="1:6" x14ac:dyDescent="0.35">
      <c r="A747" s="130">
        <v>43174</v>
      </c>
      <c r="B747" s="24" t="s">
        <v>642</v>
      </c>
      <c r="C747" s="24" t="s">
        <v>245</v>
      </c>
      <c r="D747" s="24" t="s">
        <v>281</v>
      </c>
      <c r="E747" s="24">
        <v>2197</v>
      </c>
      <c r="F747" s="24">
        <v>332677</v>
      </c>
    </row>
    <row r="748" spans="1:6" x14ac:dyDescent="0.35">
      <c r="A748" s="130">
        <v>43175</v>
      </c>
      <c r="B748" s="24" t="s">
        <v>642</v>
      </c>
      <c r="C748" s="24" t="s">
        <v>245</v>
      </c>
      <c r="D748" s="24" t="s">
        <v>281</v>
      </c>
      <c r="E748" s="24">
        <v>1925</v>
      </c>
      <c r="F748" s="24">
        <v>332684</v>
      </c>
    </row>
    <row r="749" spans="1:6" x14ac:dyDescent="0.35">
      <c r="A749" s="130">
        <v>43176</v>
      </c>
      <c r="B749" s="24" t="s">
        <v>643</v>
      </c>
      <c r="C749" s="24" t="s">
        <v>245</v>
      </c>
      <c r="D749" s="24" t="s">
        <v>281</v>
      </c>
      <c r="E749" s="24">
        <v>4886</v>
      </c>
      <c r="F749" s="24">
        <v>332696</v>
      </c>
    </row>
    <row r="750" spans="1:6" x14ac:dyDescent="0.35">
      <c r="A750" s="130">
        <v>43177</v>
      </c>
      <c r="B750" s="24" t="s">
        <v>644</v>
      </c>
      <c r="C750" s="24" t="s">
        <v>245</v>
      </c>
      <c r="D750" s="24" t="s">
        <v>281</v>
      </c>
      <c r="E750" s="24">
        <v>2957</v>
      </c>
      <c r="F750" s="24">
        <v>332699</v>
      </c>
    </row>
    <row r="751" spans="1:6" x14ac:dyDescent="0.35">
      <c r="A751" s="130">
        <v>43178</v>
      </c>
      <c r="B751" s="24" t="s">
        <v>644</v>
      </c>
      <c r="C751" s="24" t="s">
        <v>245</v>
      </c>
      <c r="D751" s="24" t="s">
        <v>281</v>
      </c>
      <c r="E751" s="24">
        <v>4702</v>
      </c>
      <c r="F751" s="24">
        <v>332713</v>
      </c>
    </row>
    <row r="752" spans="1:6" x14ac:dyDescent="0.35">
      <c r="A752" s="130">
        <v>43179</v>
      </c>
      <c r="B752" s="24" t="s">
        <v>645</v>
      </c>
      <c r="C752" s="24" t="s">
        <v>245</v>
      </c>
      <c r="D752" s="24" t="s">
        <v>281</v>
      </c>
      <c r="E752" s="24">
        <v>4925</v>
      </c>
      <c r="F752" s="24">
        <v>332716</v>
      </c>
    </row>
    <row r="753" spans="1:6" x14ac:dyDescent="0.35">
      <c r="A753" s="130">
        <v>43180</v>
      </c>
      <c r="B753" s="24" t="s">
        <v>645</v>
      </c>
      <c r="C753" s="24" t="s">
        <v>245</v>
      </c>
      <c r="D753" s="24" t="s">
        <v>281</v>
      </c>
      <c r="E753" s="24">
        <v>2202</v>
      </c>
      <c r="F753" s="24">
        <v>332723</v>
      </c>
    </row>
    <row r="754" spans="1:6" x14ac:dyDescent="0.35">
      <c r="A754" s="130">
        <v>43181</v>
      </c>
      <c r="B754" s="24" t="s">
        <v>645</v>
      </c>
      <c r="C754" s="24" t="s">
        <v>245</v>
      </c>
      <c r="D754" s="24" t="s">
        <v>281</v>
      </c>
      <c r="E754" s="24">
        <v>1494</v>
      </c>
      <c r="F754" s="24">
        <v>332724</v>
      </c>
    </row>
    <row r="755" spans="1:6" x14ac:dyDescent="0.35">
      <c r="A755" s="130">
        <v>43182</v>
      </c>
      <c r="B755" s="24" t="s">
        <v>646</v>
      </c>
      <c r="C755" s="24" t="s">
        <v>245</v>
      </c>
      <c r="D755" s="24" t="s">
        <v>281</v>
      </c>
      <c r="E755" s="24">
        <v>2391</v>
      </c>
      <c r="F755" s="24">
        <v>336526</v>
      </c>
    </row>
    <row r="756" spans="1:6" x14ac:dyDescent="0.35">
      <c r="A756" s="130">
        <v>43183</v>
      </c>
      <c r="B756" s="24" t="s">
        <v>647</v>
      </c>
      <c r="C756" s="24" t="s">
        <v>245</v>
      </c>
      <c r="D756" s="24" t="s">
        <v>281</v>
      </c>
      <c r="E756" s="24">
        <v>2752</v>
      </c>
      <c r="F756" s="24">
        <v>336549</v>
      </c>
    </row>
    <row r="757" spans="1:6" x14ac:dyDescent="0.35">
      <c r="A757" s="130">
        <v>43184</v>
      </c>
      <c r="B757" s="24" t="s">
        <v>647</v>
      </c>
      <c r="C757" s="24" t="s">
        <v>245</v>
      </c>
      <c r="D757" s="24" t="s">
        <v>281</v>
      </c>
      <c r="E757" s="24">
        <v>1103</v>
      </c>
      <c r="F757" s="24">
        <v>336572</v>
      </c>
    </row>
    <row r="758" spans="1:6" x14ac:dyDescent="0.35">
      <c r="A758" s="130">
        <v>43185</v>
      </c>
      <c r="B758" s="24" t="s">
        <v>647</v>
      </c>
      <c r="C758" s="24" t="s">
        <v>245</v>
      </c>
      <c r="D758" s="24" t="s">
        <v>281</v>
      </c>
      <c r="E758" s="24">
        <v>1371</v>
      </c>
      <c r="F758" s="24">
        <v>336611</v>
      </c>
    </row>
    <row r="759" spans="1:6" x14ac:dyDescent="0.35">
      <c r="A759" s="130">
        <v>43186</v>
      </c>
      <c r="B759" s="24" t="s">
        <v>648</v>
      </c>
      <c r="C759" s="24" t="s">
        <v>245</v>
      </c>
      <c r="D759" s="24" t="s">
        <v>281</v>
      </c>
      <c r="E759" s="24">
        <v>3689</v>
      </c>
      <c r="F759" s="24">
        <v>324950</v>
      </c>
    </row>
    <row r="760" spans="1:6" x14ac:dyDescent="0.35">
      <c r="A760" s="130">
        <v>43187</v>
      </c>
      <c r="B760" s="24" t="s">
        <v>648</v>
      </c>
      <c r="C760" s="24" t="s">
        <v>245</v>
      </c>
      <c r="D760" s="24" t="s">
        <v>281</v>
      </c>
      <c r="E760" s="24">
        <v>2982</v>
      </c>
      <c r="F760" s="24">
        <v>324951</v>
      </c>
    </row>
    <row r="761" spans="1:6" x14ac:dyDescent="0.35">
      <c r="A761" s="130">
        <v>43188</v>
      </c>
      <c r="B761" s="24" t="s">
        <v>649</v>
      </c>
      <c r="C761" s="24" t="s">
        <v>245</v>
      </c>
      <c r="D761" s="24" t="s">
        <v>388</v>
      </c>
      <c r="E761" s="24">
        <v>3818</v>
      </c>
      <c r="F761" s="24">
        <v>324953</v>
      </c>
    </row>
    <row r="762" spans="1:6" x14ac:dyDescent="0.35">
      <c r="A762" s="130">
        <v>43189</v>
      </c>
      <c r="B762" s="24" t="s">
        <v>387</v>
      </c>
      <c r="C762" s="24" t="s">
        <v>245</v>
      </c>
      <c r="D762" s="24" t="s">
        <v>388</v>
      </c>
      <c r="E762" s="24">
        <v>2540</v>
      </c>
      <c r="F762" s="24">
        <v>324957</v>
      </c>
    </row>
    <row r="763" spans="1:6" x14ac:dyDescent="0.35">
      <c r="A763" s="130">
        <v>43190</v>
      </c>
      <c r="B763" s="24" t="s">
        <v>389</v>
      </c>
      <c r="C763" s="24" t="s">
        <v>245</v>
      </c>
      <c r="D763" s="24" t="s">
        <v>388</v>
      </c>
      <c r="E763" s="24">
        <v>3480</v>
      </c>
      <c r="F763" s="24">
        <v>324958</v>
      </c>
    </row>
    <row r="764" spans="1:6" x14ac:dyDescent="0.35">
      <c r="A764" s="130">
        <v>43191</v>
      </c>
      <c r="B764" s="24" t="s">
        <v>391</v>
      </c>
      <c r="C764" s="24" t="s">
        <v>245</v>
      </c>
      <c r="D764" s="24" t="s">
        <v>388</v>
      </c>
      <c r="E764" s="24">
        <v>1735</v>
      </c>
      <c r="F764" s="24">
        <v>324960</v>
      </c>
    </row>
    <row r="765" spans="1:6" x14ac:dyDescent="0.35">
      <c r="A765" s="130">
        <v>43192</v>
      </c>
      <c r="B765" s="24" t="s">
        <v>650</v>
      </c>
      <c r="C765" s="24" t="s">
        <v>245</v>
      </c>
      <c r="D765" s="24" t="s">
        <v>388</v>
      </c>
      <c r="E765" s="24">
        <v>4688</v>
      </c>
      <c r="F765" s="24">
        <v>301049</v>
      </c>
    </row>
    <row r="766" spans="1:6" x14ac:dyDescent="0.35">
      <c r="A766" s="130">
        <v>43193</v>
      </c>
      <c r="B766" s="24" t="s">
        <v>393</v>
      </c>
      <c r="C766" s="24" t="s">
        <v>245</v>
      </c>
      <c r="D766" s="24" t="s">
        <v>388</v>
      </c>
      <c r="E766" s="24">
        <v>3287</v>
      </c>
      <c r="F766" s="24">
        <v>301083</v>
      </c>
    </row>
    <row r="767" spans="1:6" x14ac:dyDescent="0.35">
      <c r="A767" s="130">
        <v>43194</v>
      </c>
      <c r="B767" s="24" t="s">
        <v>651</v>
      </c>
      <c r="C767" s="24" t="s">
        <v>245</v>
      </c>
      <c r="D767" s="24" t="s">
        <v>388</v>
      </c>
      <c r="E767" s="24">
        <v>3603</v>
      </c>
      <c r="F767" s="24">
        <v>301120</v>
      </c>
    </row>
    <row r="768" spans="1:6" x14ac:dyDescent="0.35">
      <c r="A768" s="130">
        <v>43195</v>
      </c>
      <c r="B768" s="24" t="s">
        <v>394</v>
      </c>
      <c r="C768" s="24" t="s">
        <v>245</v>
      </c>
      <c r="D768" s="24" t="s">
        <v>388</v>
      </c>
      <c r="E768" s="24">
        <v>2355</v>
      </c>
      <c r="F768" s="24">
        <v>301187</v>
      </c>
    </row>
    <row r="769" spans="1:6" x14ac:dyDescent="0.35">
      <c r="A769" s="130">
        <v>43196</v>
      </c>
      <c r="B769" s="24" t="s">
        <v>395</v>
      </c>
      <c r="C769" s="24" t="s">
        <v>245</v>
      </c>
      <c r="D769" s="24" t="s">
        <v>388</v>
      </c>
      <c r="E769" s="24">
        <v>4377</v>
      </c>
      <c r="F769" s="24">
        <v>301194</v>
      </c>
    </row>
    <row r="770" spans="1:6" x14ac:dyDescent="0.35">
      <c r="A770" s="130">
        <v>43197</v>
      </c>
      <c r="B770" s="24" t="s">
        <v>397</v>
      </c>
      <c r="C770" s="24" t="s">
        <v>245</v>
      </c>
      <c r="D770" s="24" t="s">
        <v>388</v>
      </c>
      <c r="E770" s="24">
        <v>3752</v>
      </c>
      <c r="F770" s="24">
        <v>301195</v>
      </c>
    </row>
    <row r="771" spans="1:6" x14ac:dyDescent="0.35">
      <c r="A771" s="130">
        <v>43198</v>
      </c>
      <c r="B771" s="24" t="s">
        <v>399</v>
      </c>
      <c r="C771" s="24" t="s">
        <v>245</v>
      </c>
      <c r="D771" s="24" t="s">
        <v>388</v>
      </c>
      <c r="E771" s="24">
        <v>4028</v>
      </c>
      <c r="F771" s="24">
        <v>301197</v>
      </c>
    </row>
    <row r="772" spans="1:6" x14ac:dyDescent="0.35">
      <c r="A772" s="130">
        <v>43199</v>
      </c>
      <c r="B772" s="24" t="s">
        <v>400</v>
      </c>
      <c r="C772" s="24" t="s">
        <v>245</v>
      </c>
      <c r="D772" s="24" t="s">
        <v>388</v>
      </c>
      <c r="E772" s="24">
        <v>3780</v>
      </c>
      <c r="F772" s="24">
        <v>301198</v>
      </c>
    </row>
    <row r="773" spans="1:6" x14ac:dyDescent="0.35">
      <c r="A773" s="130">
        <v>43200</v>
      </c>
      <c r="B773" s="24" t="s">
        <v>401</v>
      </c>
      <c r="C773" s="24" t="s">
        <v>248</v>
      </c>
      <c r="D773" s="24" t="s">
        <v>388</v>
      </c>
      <c r="E773" s="24">
        <v>4505</v>
      </c>
      <c r="F773" s="24">
        <v>301199</v>
      </c>
    </row>
    <row r="774" spans="1:6" x14ac:dyDescent="0.35">
      <c r="A774" s="130">
        <v>43201</v>
      </c>
      <c r="B774" s="24" t="s">
        <v>402</v>
      </c>
      <c r="C774" s="24" t="s">
        <v>268</v>
      </c>
      <c r="D774" s="24" t="s">
        <v>388</v>
      </c>
      <c r="E774" s="24">
        <v>4114</v>
      </c>
      <c r="F774" s="24">
        <v>301200</v>
      </c>
    </row>
    <row r="775" spans="1:6" x14ac:dyDescent="0.35">
      <c r="A775" s="130">
        <v>43202</v>
      </c>
      <c r="B775" s="24" t="s">
        <v>403</v>
      </c>
      <c r="C775" s="24" t="s">
        <v>248</v>
      </c>
      <c r="D775" s="24" t="s">
        <v>388</v>
      </c>
      <c r="E775" s="24">
        <v>4567</v>
      </c>
      <c r="F775" s="24">
        <v>301202</v>
      </c>
    </row>
    <row r="776" spans="1:6" x14ac:dyDescent="0.35">
      <c r="A776" s="130">
        <v>43203</v>
      </c>
      <c r="B776" s="24" t="s">
        <v>404</v>
      </c>
      <c r="C776" s="24" t="s">
        <v>245</v>
      </c>
      <c r="D776" s="24" t="s">
        <v>388</v>
      </c>
      <c r="E776" s="24">
        <v>4383</v>
      </c>
      <c r="F776" s="24">
        <v>301203</v>
      </c>
    </row>
    <row r="777" spans="1:6" x14ac:dyDescent="0.35">
      <c r="A777" s="130">
        <v>43204</v>
      </c>
      <c r="B777" s="24" t="s">
        <v>652</v>
      </c>
      <c r="C777" s="24" t="s">
        <v>248</v>
      </c>
      <c r="D777" s="24" t="s">
        <v>388</v>
      </c>
      <c r="E777" s="24">
        <v>2429</v>
      </c>
      <c r="F777" s="24">
        <v>301204</v>
      </c>
    </row>
    <row r="778" spans="1:6" x14ac:dyDescent="0.35">
      <c r="A778" s="130">
        <v>43205</v>
      </c>
      <c r="B778" s="24" t="s">
        <v>652</v>
      </c>
      <c r="C778" s="24" t="s">
        <v>248</v>
      </c>
      <c r="D778" s="24" t="s">
        <v>388</v>
      </c>
      <c r="E778" s="24">
        <v>4512</v>
      </c>
      <c r="F778" s="24">
        <v>301205</v>
      </c>
    </row>
    <row r="779" spans="1:6" x14ac:dyDescent="0.35">
      <c r="A779" s="130">
        <v>43206</v>
      </c>
      <c r="B779" s="24" t="s">
        <v>405</v>
      </c>
      <c r="C779" s="24" t="s">
        <v>245</v>
      </c>
      <c r="D779" s="24" t="s">
        <v>388</v>
      </c>
      <c r="E779" s="24">
        <v>3805</v>
      </c>
      <c r="F779" s="24">
        <v>301206</v>
      </c>
    </row>
    <row r="780" spans="1:6" x14ac:dyDescent="0.35">
      <c r="A780" s="130">
        <v>43207</v>
      </c>
      <c r="B780" s="24" t="s">
        <v>653</v>
      </c>
      <c r="C780" s="24" t="s">
        <v>245</v>
      </c>
      <c r="D780" s="24" t="s">
        <v>388</v>
      </c>
      <c r="E780" s="24">
        <v>3853</v>
      </c>
      <c r="F780" s="24">
        <v>301207</v>
      </c>
    </row>
    <row r="781" spans="1:6" x14ac:dyDescent="0.35">
      <c r="A781" s="130">
        <v>43208</v>
      </c>
      <c r="B781" s="24" t="s">
        <v>407</v>
      </c>
      <c r="C781" s="24" t="s">
        <v>245</v>
      </c>
      <c r="D781" s="24" t="s">
        <v>388</v>
      </c>
      <c r="E781" s="24">
        <v>3476</v>
      </c>
      <c r="F781" s="24">
        <v>301208</v>
      </c>
    </row>
    <row r="782" spans="1:6" x14ac:dyDescent="0.35">
      <c r="A782" s="130">
        <v>43209</v>
      </c>
      <c r="B782" s="24" t="s">
        <v>408</v>
      </c>
      <c r="C782" s="24" t="s">
        <v>245</v>
      </c>
      <c r="D782" s="24" t="s">
        <v>388</v>
      </c>
      <c r="E782" s="24">
        <v>1100</v>
      </c>
      <c r="F782" s="24">
        <v>301209</v>
      </c>
    </row>
    <row r="783" spans="1:6" x14ac:dyDescent="0.35">
      <c r="A783" s="130">
        <v>43210</v>
      </c>
      <c r="B783" s="24" t="s">
        <v>649</v>
      </c>
      <c r="C783" s="24" t="s">
        <v>245</v>
      </c>
      <c r="D783" s="24" t="s">
        <v>388</v>
      </c>
      <c r="E783" s="24">
        <v>4127</v>
      </c>
      <c r="F783" s="24">
        <v>301210</v>
      </c>
    </row>
    <row r="784" spans="1:6" x14ac:dyDescent="0.35">
      <c r="A784" s="130">
        <v>43211</v>
      </c>
      <c r="B784" s="24" t="s">
        <v>387</v>
      </c>
      <c r="C784" s="24" t="s">
        <v>245</v>
      </c>
      <c r="D784" s="24" t="s">
        <v>388</v>
      </c>
      <c r="E784" s="24">
        <v>2820</v>
      </c>
      <c r="F784" s="24">
        <v>301211</v>
      </c>
    </row>
    <row r="785" spans="1:6" x14ac:dyDescent="0.35">
      <c r="A785" s="130">
        <v>43212</v>
      </c>
      <c r="B785" s="24" t="s">
        <v>389</v>
      </c>
      <c r="C785" s="24" t="s">
        <v>245</v>
      </c>
      <c r="D785" s="24" t="s">
        <v>388</v>
      </c>
      <c r="E785" s="24">
        <v>2439</v>
      </c>
      <c r="F785" s="24">
        <v>301212</v>
      </c>
    </row>
    <row r="786" spans="1:6" x14ac:dyDescent="0.35">
      <c r="A786" s="130">
        <v>43213</v>
      </c>
      <c r="B786" s="24" t="s">
        <v>389</v>
      </c>
      <c r="C786" s="24" t="s">
        <v>245</v>
      </c>
      <c r="D786" s="24" t="s">
        <v>388</v>
      </c>
      <c r="E786" s="24">
        <v>3067</v>
      </c>
      <c r="F786" s="24">
        <v>301213</v>
      </c>
    </row>
    <row r="787" spans="1:6" x14ac:dyDescent="0.35">
      <c r="A787" s="130">
        <v>43214</v>
      </c>
      <c r="B787" s="24" t="s">
        <v>390</v>
      </c>
      <c r="C787" s="24" t="s">
        <v>245</v>
      </c>
      <c r="D787" s="24" t="s">
        <v>388</v>
      </c>
      <c r="E787" s="24">
        <v>4659</v>
      </c>
      <c r="F787" s="24">
        <v>301214</v>
      </c>
    </row>
    <row r="788" spans="1:6" x14ac:dyDescent="0.35">
      <c r="A788" s="130">
        <v>43215</v>
      </c>
      <c r="B788" s="24" t="s">
        <v>390</v>
      </c>
      <c r="C788" s="24" t="s">
        <v>245</v>
      </c>
      <c r="D788" s="24" t="s">
        <v>388</v>
      </c>
      <c r="E788" s="24">
        <v>3662</v>
      </c>
      <c r="F788" s="24">
        <v>301215</v>
      </c>
    </row>
    <row r="789" spans="1:6" x14ac:dyDescent="0.35">
      <c r="A789" s="130">
        <v>43216</v>
      </c>
      <c r="B789" s="24" t="s">
        <v>391</v>
      </c>
      <c r="C789" s="24" t="s">
        <v>245</v>
      </c>
      <c r="D789" s="24" t="s">
        <v>388</v>
      </c>
      <c r="E789" s="24">
        <v>2061</v>
      </c>
      <c r="F789" s="24">
        <v>328896</v>
      </c>
    </row>
    <row r="790" spans="1:6" x14ac:dyDescent="0.35">
      <c r="A790" s="130">
        <v>43217</v>
      </c>
      <c r="B790" s="24" t="s">
        <v>392</v>
      </c>
      <c r="C790" s="24" t="s">
        <v>268</v>
      </c>
      <c r="D790" s="24" t="s">
        <v>388</v>
      </c>
      <c r="E790" s="24">
        <v>3749</v>
      </c>
      <c r="F790" s="24">
        <v>328897</v>
      </c>
    </row>
    <row r="791" spans="1:6" x14ac:dyDescent="0.35">
      <c r="A791" s="130">
        <v>43218</v>
      </c>
      <c r="B791" s="24" t="s">
        <v>650</v>
      </c>
      <c r="C791" s="24" t="s">
        <v>245</v>
      </c>
      <c r="D791" s="24" t="s">
        <v>388</v>
      </c>
      <c r="E791" s="24">
        <v>3369</v>
      </c>
      <c r="F791" s="24">
        <v>328898</v>
      </c>
    </row>
    <row r="792" spans="1:6" x14ac:dyDescent="0.35">
      <c r="A792" s="130">
        <v>43219</v>
      </c>
      <c r="B792" s="24" t="s">
        <v>393</v>
      </c>
      <c r="C792" s="24" t="s">
        <v>245</v>
      </c>
      <c r="D792" s="24" t="s">
        <v>388</v>
      </c>
      <c r="E792" s="24">
        <v>3370</v>
      </c>
      <c r="F792" s="24">
        <v>328899</v>
      </c>
    </row>
    <row r="793" spans="1:6" x14ac:dyDescent="0.35">
      <c r="A793" s="130">
        <v>43220</v>
      </c>
      <c r="B793" s="24" t="s">
        <v>393</v>
      </c>
      <c r="C793" s="24" t="s">
        <v>245</v>
      </c>
      <c r="D793" s="24" t="s">
        <v>388</v>
      </c>
      <c r="E793" s="24">
        <v>3949</v>
      </c>
      <c r="F793" s="24">
        <v>328904</v>
      </c>
    </row>
    <row r="794" spans="1:6" x14ac:dyDescent="0.35">
      <c r="A794" s="130">
        <v>43221</v>
      </c>
      <c r="B794" s="24" t="s">
        <v>651</v>
      </c>
      <c r="C794" s="24" t="s">
        <v>245</v>
      </c>
      <c r="D794" s="24" t="s">
        <v>388</v>
      </c>
      <c r="E794" s="24">
        <v>3791</v>
      </c>
      <c r="F794" s="24">
        <v>328908</v>
      </c>
    </row>
    <row r="795" spans="1:6" x14ac:dyDescent="0.35">
      <c r="A795" s="130">
        <v>43222</v>
      </c>
      <c r="B795" s="24" t="s">
        <v>395</v>
      </c>
      <c r="C795" s="24" t="s">
        <v>245</v>
      </c>
      <c r="D795" s="24" t="s">
        <v>388</v>
      </c>
      <c r="E795" s="24">
        <v>1487</v>
      </c>
      <c r="F795" s="24">
        <v>328909</v>
      </c>
    </row>
    <row r="796" spans="1:6" x14ac:dyDescent="0.35">
      <c r="A796" s="130">
        <v>43223</v>
      </c>
      <c r="B796" s="24" t="s">
        <v>396</v>
      </c>
      <c r="C796" s="24" t="s">
        <v>268</v>
      </c>
      <c r="D796" s="24" t="s">
        <v>388</v>
      </c>
      <c r="E796" s="24">
        <v>2943</v>
      </c>
      <c r="F796" s="24">
        <v>328912</v>
      </c>
    </row>
    <row r="797" spans="1:6" x14ac:dyDescent="0.35">
      <c r="A797" s="130">
        <v>43224</v>
      </c>
      <c r="B797" s="24" t="s">
        <v>396</v>
      </c>
      <c r="C797" s="24" t="s">
        <v>268</v>
      </c>
      <c r="D797" s="24" t="s">
        <v>388</v>
      </c>
      <c r="E797" s="24">
        <v>1271</v>
      </c>
      <c r="F797" s="24">
        <v>328913</v>
      </c>
    </row>
    <row r="798" spans="1:6" x14ac:dyDescent="0.35">
      <c r="A798" s="130">
        <v>43225</v>
      </c>
      <c r="B798" s="24" t="s">
        <v>397</v>
      </c>
      <c r="C798" s="24" t="s">
        <v>245</v>
      </c>
      <c r="D798" s="24" t="s">
        <v>388</v>
      </c>
      <c r="E798" s="24">
        <v>4837</v>
      </c>
      <c r="F798" s="24">
        <v>328916</v>
      </c>
    </row>
    <row r="799" spans="1:6" x14ac:dyDescent="0.35">
      <c r="A799" s="130">
        <v>43226</v>
      </c>
      <c r="B799" s="24" t="s">
        <v>397</v>
      </c>
      <c r="C799" s="24" t="s">
        <v>245</v>
      </c>
      <c r="D799" s="24" t="s">
        <v>388</v>
      </c>
      <c r="E799" s="24">
        <v>3272</v>
      </c>
      <c r="F799" s="24">
        <v>356618</v>
      </c>
    </row>
    <row r="800" spans="1:6" x14ac:dyDescent="0.35">
      <c r="A800" s="130">
        <v>43227</v>
      </c>
      <c r="B800" s="24" t="s">
        <v>398</v>
      </c>
      <c r="C800" s="24" t="s">
        <v>245</v>
      </c>
      <c r="D800" s="24" t="s">
        <v>388</v>
      </c>
      <c r="E800" s="24">
        <v>4115</v>
      </c>
      <c r="F800" s="24">
        <v>300592</v>
      </c>
    </row>
    <row r="801" spans="1:6" x14ac:dyDescent="0.35">
      <c r="A801" s="130">
        <v>43228</v>
      </c>
      <c r="B801" s="24" t="s">
        <v>399</v>
      </c>
      <c r="C801" s="24" t="s">
        <v>245</v>
      </c>
      <c r="D801" s="24" t="s">
        <v>388</v>
      </c>
      <c r="E801" s="24">
        <v>2519</v>
      </c>
      <c r="F801" s="24">
        <v>332721</v>
      </c>
    </row>
    <row r="802" spans="1:6" x14ac:dyDescent="0.35">
      <c r="A802" s="130">
        <v>43229</v>
      </c>
      <c r="B802" s="24" t="s">
        <v>400</v>
      </c>
      <c r="C802" s="24" t="s">
        <v>245</v>
      </c>
      <c r="D802" s="24" t="s">
        <v>388</v>
      </c>
      <c r="E802" s="24">
        <v>2125</v>
      </c>
      <c r="F802" s="24">
        <v>336579</v>
      </c>
    </row>
    <row r="803" spans="1:6" x14ac:dyDescent="0.35">
      <c r="A803" s="130">
        <v>43230</v>
      </c>
      <c r="B803" s="24" t="s">
        <v>403</v>
      </c>
      <c r="C803" s="24" t="s">
        <v>248</v>
      </c>
      <c r="D803" s="24" t="s">
        <v>388</v>
      </c>
      <c r="E803" s="24">
        <v>2156</v>
      </c>
      <c r="F803" s="24">
        <v>328900</v>
      </c>
    </row>
    <row r="804" spans="1:6" x14ac:dyDescent="0.35">
      <c r="A804" s="130">
        <v>43231</v>
      </c>
      <c r="B804" s="24" t="s">
        <v>403</v>
      </c>
      <c r="C804" s="24" t="s">
        <v>248</v>
      </c>
      <c r="D804" s="24" t="s">
        <v>388</v>
      </c>
      <c r="E804" s="24">
        <v>2017</v>
      </c>
      <c r="F804" s="24">
        <v>328905</v>
      </c>
    </row>
    <row r="805" spans="1:6" x14ac:dyDescent="0.35">
      <c r="A805" s="130">
        <v>43232</v>
      </c>
      <c r="B805" s="24" t="s">
        <v>404</v>
      </c>
      <c r="C805" s="24" t="s">
        <v>245</v>
      </c>
      <c r="D805" s="24" t="s">
        <v>388</v>
      </c>
      <c r="E805" s="24">
        <v>3000</v>
      </c>
      <c r="F805" s="24">
        <v>328907</v>
      </c>
    </row>
    <row r="806" spans="1:6" x14ac:dyDescent="0.35">
      <c r="A806" s="130">
        <v>43233</v>
      </c>
      <c r="B806" s="24" t="s">
        <v>652</v>
      </c>
      <c r="C806" s="24" t="s">
        <v>248</v>
      </c>
      <c r="D806" s="24" t="s">
        <v>388</v>
      </c>
      <c r="E806" s="24">
        <v>1755</v>
      </c>
      <c r="F806" s="24">
        <v>328910</v>
      </c>
    </row>
    <row r="807" spans="1:6" x14ac:dyDescent="0.35">
      <c r="A807" s="130">
        <v>43234</v>
      </c>
      <c r="B807" s="24" t="s">
        <v>406</v>
      </c>
      <c r="C807" s="24" t="s">
        <v>245</v>
      </c>
      <c r="D807" s="24" t="s">
        <v>388</v>
      </c>
      <c r="E807" s="24">
        <v>1284</v>
      </c>
      <c r="F807" s="24">
        <v>328911</v>
      </c>
    </row>
    <row r="808" spans="1:6" x14ac:dyDescent="0.35">
      <c r="A808" s="130">
        <v>43235</v>
      </c>
      <c r="B808" s="24" t="s">
        <v>653</v>
      </c>
      <c r="C808" s="24" t="s">
        <v>245</v>
      </c>
      <c r="D808" s="24" t="s">
        <v>388</v>
      </c>
      <c r="E808" s="24">
        <v>2055</v>
      </c>
      <c r="F808" s="24">
        <v>328914</v>
      </c>
    </row>
    <row r="809" spans="1:6" x14ac:dyDescent="0.35">
      <c r="A809" s="130">
        <v>43236</v>
      </c>
      <c r="B809" s="24" t="s">
        <v>653</v>
      </c>
      <c r="C809" s="24" t="s">
        <v>245</v>
      </c>
      <c r="D809" s="24" t="s">
        <v>388</v>
      </c>
      <c r="E809" s="24">
        <v>2874</v>
      </c>
      <c r="F809" s="24">
        <v>329440</v>
      </c>
    </row>
    <row r="810" spans="1:6" x14ac:dyDescent="0.35">
      <c r="A810" s="130">
        <v>43237</v>
      </c>
      <c r="B810" s="24" t="s">
        <v>407</v>
      </c>
      <c r="C810" s="24" t="s">
        <v>245</v>
      </c>
      <c r="D810" s="24" t="s">
        <v>388</v>
      </c>
      <c r="E810" s="24">
        <v>4099</v>
      </c>
      <c r="F810" s="24">
        <v>332669</v>
      </c>
    </row>
    <row r="811" spans="1:6" x14ac:dyDescent="0.35">
      <c r="A811" s="130">
        <v>43238</v>
      </c>
      <c r="B811" s="24" t="s">
        <v>408</v>
      </c>
      <c r="C811" s="24" t="s">
        <v>245</v>
      </c>
      <c r="D811" s="24" t="s">
        <v>388</v>
      </c>
      <c r="E811" s="24">
        <v>1404</v>
      </c>
      <c r="F811" s="24">
        <v>332688</v>
      </c>
    </row>
    <row r="812" spans="1:6" x14ac:dyDescent="0.35">
      <c r="A812" s="130">
        <v>43239</v>
      </c>
      <c r="B812" s="24" t="s">
        <v>412</v>
      </c>
      <c r="C812" s="24" t="s">
        <v>268</v>
      </c>
      <c r="D812" s="24" t="s">
        <v>410</v>
      </c>
      <c r="E812" s="24">
        <v>3639</v>
      </c>
      <c r="F812" s="24">
        <v>336543</v>
      </c>
    </row>
    <row r="813" spans="1:6" x14ac:dyDescent="0.35">
      <c r="A813" s="130">
        <v>43240</v>
      </c>
      <c r="B813" s="24" t="s">
        <v>414</v>
      </c>
      <c r="C813" s="24" t="s">
        <v>245</v>
      </c>
      <c r="D813" s="24" t="s">
        <v>410</v>
      </c>
      <c r="E813" s="24">
        <v>1084</v>
      </c>
      <c r="F813" s="24">
        <v>336551</v>
      </c>
    </row>
    <row r="814" spans="1:6" x14ac:dyDescent="0.35">
      <c r="A814" s="130">
        <v>43241</v>
      </c>
      <c r="B814" s="24" t="s">
        <v>654</v>
      </c>
      <c r="C814" s="24" t="s">
        <v>248</v>
      </c>
      <c r="D814" s="24" t="s">
        <v>410</v>
      </c>
      <c r="E814" s="24">
        <v>1869</v>
      </c>
      <c r="F814" s="24">
        <v>336590</v>
      </c>
    </row>
    <row r="815" spans="1:6" x14ac:dyDescent="0.35">
      <c r="A815" s="130">
        <v>43242</v>
      </c>
      <c r="B815" s="24" t="s">
        <v>415</v>
      </c>
      <c r="C815" s="24" t="s">
        <v>245</v>
      </c>
      <c r="D815" s="24" t="s">
        <v>410</v>
      </c>
      <c r="E815" s="24">
        <v>1189</v>
      </c>
      <c r="F815" s="24">
        <v>336593</v>
      </c>
    </row>
    <row r="816" spans="1:6" x14ac:dyDescent="0.35">
      <c r="A816" s="130">
        <v>43243</v>
      </c>
      <c r="B816" s="24" t="s">
        <v>415</v>
      </c>
      <c r="C816" s="24" t="s">
        <v>245</v>
      </c>
      <c r="D816" s="24" t="s">
        <v>410</v>
      </c>
      <c r="E816" s="24">
        <v>3707</v>
      </c>
      <c r="F816" s="24">
        <v>336641</v>
      </c>
    </row>
    <row r="817" spans="1:6" x14ac:dyDescent="0.35">
      <c r="A817" s="130">
        <v>43244</v>
      </c>
      <c r="B817" s="24" t="s">
        <v>416</v>
      </c>
      <c r="C817" s="24" t="s">
        <v>245</v>
      </c>
      <c r="D817" s="24" t="s">
        <v>410</v>
      </c>
      <c r="E817" s="24">
        <v>1530</v>
      </c>
      <c r="F817" s="24">
        <v>705809</v>
      </c>
    </row>
    <row r="818" spans="1:6" x14ac:dyDescent="0.35">
      <c r="A818" s="130">
        <v>43245</v>
      </c>
      <c r="B818" s="24" t="s">
        <v>417</v>
      </c>
      <c r="C818" s="24" t="s">
        <v>245</v>
      </c>
      <c r="D818" s="24" t="s">
        <v>410</v>
      </c>
      <c r="E818" s="24">
        <v>2325</v>
      </c>
      <c r="F818" s="24">
        <v>705813</v>
      </c>
    </row>
    <row r="819" spans="1:6" x14ac:dyDescent="0.35">
      <c r="A819" s="130">
        <v>43246</v>
      </c>
      <c r="B819" s="24" t="s">
        <v>418</v>
      </c>
      <c r="C819" s="24" t="s">
        <v>245</v>
      </c>
      <c r="D819" s="24" t="s">
        <v>410</v>
      </c>
      <c r="E819" s="24">
        <v>3412</v>
      </c>
      <c r="F819" s="24">
        <v>705824</v>
      </c>
    </row>
    <row r="820" spans="1:6" x14ac:dyDescent="0.35">
      <c r="A820" s="130">
        <v>43247</v>
      </c>
      <c r="B820" s="24" t="s">
        <v>655</v>
      </c>
      <c r="C820" s="24" t="s">
        <v>245</v>
      </c>
      <c r="D820" s="24" t="s">
        <v>410</v>
      </c>
      <c r="E820" s="24">
        <v>3597</v>
      </c>
      <c r="F820" s="24">
        <v>332577</v>
      </c>
    </row>
    <row r="821" spans="1:6" x14ac:dyDescent="0.35">
      <c r="A821" s="130">
        <v>43248</v>
      </c>
      <c r="B821" s="24" t="s">
        <v>419</v>
      </c>
      <c r="C821" s="24" t="s">
        <v>245</v>
      </c>
      <c r="D821" s="24" t="s">
        <v>410</v>
      </c>
      <c r="E821" s="24">
        <v>3732</v>
      </c>
      <c r="F821" s="24">
        <v>332594</v>
      </c>
    </row>
    <row r="822" spans="1:6" x14ac:dyDescent="0.35">
      <c r="A822" s="130">
        <v>43249</v>
      </c>
      <c r="B822" s="24" t="s">
        <v>419</v>
      </c>
      <c r="C822" s="24" t="s">
        <v>245</v>
      </c>
      <c r="D822" s="24" t="s">
        <v>410</v>
      </c>
      <c r="E822" s="24">
        <v>3462</v>
      </c>
      <c r="F822" s="24">
        <v>332725</v>
      </c>
    </row>
    <row r="823" spans="1:6" x14ac:dyDescent="0.35">
      <c r="A823" s="130">
        <v>43250</v>
      </c>
      <c r="B823" s="24" t="s">
        <v>421</v>
      </c>
      <c r="C823" s="24" t="s">
        <v>245</v>
      </c>
      <c r="D823" s="24" t="s">
        <v>410</v>
      </c>
      <c r="E823" s="24">
        <v>1408</v>
      </c>
      <c r="F823" s="24">
        <v>332731</v>
      </c>
    </row>
    <row r="824" spans="1:6" x14ac:dyDescent="0.35">
      <c r="A824" s="130">
        <v>43251</v>
      </c>
      <c r="B824" s="24" t="s">
        <v>656</v>
      </c>
      <c r="C824" s="24" t="s">
        <v>245</v>
      </c>
      <c r="D824" s="24" t="s">
        <v>410</v>
      </c>
      <c r="E824" s="24">
        <v>1227</v>
      </c>
      <c r="F824" s="24">
        <v>336554</v>
      </c>
    </row>
    <row r="825" spans="1:6" x14ac:dyDescent="0.35">
      <c r="A825" s="130">
        <v>43252</v>
      </c>
      <c r="B825" s="24" t="s">
        <v>423</v>
      </c>
      <c r="C825" s="24" t="s">
        <v>268</v>
      </c>
      <c r="D825" s="24" t="s">
        <v>410</v>
      </c>
      <c r="E825" s="24">
        <v>1354</v>
      </c>
      <c r="F825" s="24">
        <v>336559</v>
      </c>
    </row>
    <row r="826" spans="1:6" x14ac:dyDescent="0.35">
      <c r="A826" s="130">
        <v>43253</v>
      </c>
      <c r="B826" s="24" t="s">
        <v>423</v>
      </c>
      <c r="C826" s="24" t="s">
        <v>268</v>
      </c>
      <c r="D826" s="24" t="s">
        <v>410</v>
      </c>
      <c r="E826" s="24">
        <v>2391</v>
      </c>
      <c r="F826" s="24">
        <v>706166</v>
      </c>
    </row>
    <row r="827" spans="1:6" x14ac:dyDescent="0.35">
      <c r="A827" s="130">
        <v>43254</v>
      </c>
      <c r="B827" s="24" t="s">
        <v>424</v>
      </c>
      <c r="C827" s="24" t="s">
        <v>245</v>
      </c>
      <c r="D827" s="24" t="s">
        <v>410</v>
      </c>
      <c r="E827" s="24">
        <v>1772</v>
      </c>
      <c r="F827" s="24">
        <v>706167</v>
      </c>
    </row>
    <row r="828" spans="1:6" x14ac:dyDescent="0.35">
      <c r="A828" s="130">
        <v>43255</v>
      </c>
      <c r="B828" s="24" t="s">
        <v>657</v>
      </c>
      <c r="C828" s="24" t="s">
        <v>245</v>
      </c>
      <c r="D828" s="24" t="s">
        <v>410</v>
      </c>
      <c r="E828" s="24">
        <v>1116</v>
      </c>
      <c r="F828" s="24">
        <v>706168</v>
      </c>
    </row>
    <row r="829" spans="1:6" x14ac:dyDescent="0.35">
      <c r="A829" s="130">
        <v>43256</v>
      </c>
      <c r="B829" s="24" t="s">
        <v>425</v>
      </c>
      <c r="C829" s="24" t="s">
        <v>245</v>
      </c>
      <c r="D829" s="24" t="s">
        <v>410</v>
      </c>
      <c r="E829" s="24">
        <v>2048</v>
      </c>
      <c r="F829" s="24">
        <v>332722</v>
      </c>
    </row>
    <row r="830" spans="1:6" x14ac:dyDescent="0.35">
      <c r="A830" s="130">
        <v>43257</v>
      </c>
      <c r="B830" s="24" t="s">
        <v>426</v>
      </c>
      <c r="C830" s="24" t="s">
        <v>245</v>
      </c>
      <c r="D830" s="24" t="s">
        <v>410</v>
      </c>
      <c r="E830" s="24">
        <v>1608</v>
      </c>
      <c r="F830" s="24">
        <v>336603</v>
      </c>
    </row>
    <row r="831" spans="1:6" x14ac:dyDescent="0.35">
      <c r="A831" s="130">
        <v>43258</v>
      </c>
      <c r="B831" s="24" t="s">
        <v>427</v>
      </c>
      <c r="C831" s="24" t="s">
        <v>245</v>
      </c>
      <c r="D831" s="24" t="s">
        <v>410</v>
      </c>
      <c r="E831" s="24">
        <v>1260</v>
      </c>
      <c r="F831" s="24">
        <v>332507</v>
      </c>
    </row>
    <row r="832" spans="1:6" x14ac:dyDescent="0.35">
      <c r="A832" s="130">
        <v>43259</v>
      </c>
      <c r="B832" s="24" t="s">
        <v>429</v>
      </c>
      <c r="C832" s="24" t="s">
        <v>245</v>
      </c>
      <c r="D832" s="24" t="s">
        <v>410</v>
      </c>
      <c r="E832" s="24">
        <v>3968</v>
      </c>
      <c r="F832" s="24">
        <v>332715</v>
      </c>
    </row>
    <row r="833" spans="1:6" x14ac:dyDescent="0.35">
      <c r="A833" s="130">
        <v>43260</v>
      </c>
      <c r="B833" s="24" t="s">
        <v>658</v>
      </c>
      <c r="C833" s="24" t="s">
        <v>245</v>
      </c>
      <c r="D833" s="24" t="s">
        <v>410</v>
      </c>
      <c r="E833" s="24">
        <v>4550</v>
      </c>
      <c r="F833" s="24">
        <v>332656</v>
      </c>
    </row>
    <row r="834" spans="1:6" x14ac:dyDescent="0.35">
      <c r="A834" s="130">
        <v>43261</v>
      </c>
      <c r="B834" s="24" t="s">
        <v>658</v>
      </c>
      <c r="C834" s="24" t="s">
        <v>245</v>
      </c>
      <c r="D834" s="24" t="s">
        <v>410</v>
      </c>
      <c r="E834" s="24">
        <v>4774</v>
      </c>
      <c r="F834" s="24">
        <v>336638</v>
      </c>
    </row>
    <row r="835" spans="1:6" x14ac:dyDescent="0.35">
      <c r="A835" s="130">
        <v>43262</v>
      </c>
      <c r="B835" s="24" t="s">
        <v>431</v>
      </c>
      <c r="C835" s="24" t="s">
        <v>245</v>
      </c>
      <c r="D835" s="24" t="s">
        <v>410</v>
      </c>
      <c r="E835" s="24">
        <v>2686</v>
      </c>
      <c r="F835" s="24">
        <v>301241</v>
      </c>
    </row>
  </sheetData>
  <mergeCells count="4">
    <mergeCell ref="H1:L1"/>
    <mergeCell ref="A1:F1"/>
    <mergeCell ref="N1:T1"/>
    <mergeCell ref="V1:AA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81"/>
  <sheetViews>
    <sheetView showGridLines="0" workbookViewId="0">
      <selection sqref="A1:F1"/>
    </sheetView>
  </sheetViews>
  <sheetFormatPr defaultRowHeight="14.5" x14ac:dyDescent="0.35"/>
  <cols>
    <col min="1" max="1" width="9.7265625" customWidth="1"/>
    <col min="2" max="2" width="16.1796875" customWidth="1"/>
    <col min="3" max="3" width="13.81640625" customWidth="1"/>
    <col min="4" max="4" width="17.81640625" customWidth="1"/>
    <col min="5" max="5" width="14.1796875" customWidth="1"/>
    <col min="6" max="6" width="13.54296875" customWidth="1"/>
    <col min="8" max="8" width="15.453125" bestFit="1" customWidth="1"/>
  </cols>
  <sheetData>
    <row r="1" spans="1:9" ht="15" thickBot="1" x14ac:dyDescent="0.4">
      <c r="A1" s="237" t="s">
        <v>662</v>
      </c>
      <c r="B1" s="238"/>
      <c r="C1" s="238"/>
      <c r="D1" s="238"/>
      <c r="E1" s="238"/>
      <c r="F1" s="239"/>
    </row>
    <row r="2" spans="1:9" x14ac:dyDescent="0.35">
      <c r="A2" s="135" t="s">
        <v>663</v>
      </c>
      <c r="B2" s="135" t="s">
        <v>74</v>
      </c>
      <c r="C2" s="135" t="s">
        <v>664</v>
      </c>
      <c r="D2" s="135" t="s">
        <v>665</v>
      </c>
      <c r="E2" s="135" t="s">
        <v>666</v>
      </c>
      <c r="F2" s="135" t="s">
        <v>667</v>
      </c>
      <c r="H2" s="136" t="s">
        <v>17</v>
      </c>
      <c r="I2" s="137" t="s">
        <v>667</v>
      </c>
    </row>
    <row r="3" spans="1:9" x14ac:dyDescent="0.35">
      <c r="A3" s="24">
        <v>1311</v>
      </c>
      <c r="B3" s="24" t="s">
        <v>350</v>
      </c>
      <c r="C3" s="24">
        <v>600</v>
      </c>
      <c r="D3" s="24">
        <v>474</v>
      </c>
      <c r="E3" s="209">
        <f>D3/C3</f>
        <v>0.79</v>
      </c>
      <c r="F3" s="138" t="str">
        <f>IF(AND(E3&lt;=50%),"Fail",IF(AND(E3&gt;=50%,E3&lt;=60%),"C",IF(AND(E3&gt;=60%,E3&lt;=75%),"B","A")))</f>
        <v>A</v>
      </c>
      <c r="G3" t="str">
        <f>IF(E3&gt;=75,"A",IF(E3&gt;=60,"B",IF(E3&gt;=50,"c","fail")))</f>
        <v>fail</v>
      </c>
      <c r="H3" s="139" t="s">
        <v>668</v>
      </c>
      <c r="I3" s="140" t="s">
        <v>122</v>
      </c>
    </row>
    <row r="4" spans="1:9" x14ac:dyDescent="0.35">
      <c r="A4" s="24">
        <v>1533</v>
      </c>
      <c r="B4" s="24" t="s">
        <v>327</v>
      </c>
      <c r="C4" s="24">
        <v>600</v>
      </c>
      <c r="D4" s="24">
        <v>500</v>
      </c>
      <c r="E4" s="209">
        <f t="shared" ref="E4:E67" si="0">D4/C4</f>
        <v>0.83333333333333337</v>
      </c>
      <c r="F4" s="138" t="str">
        <f t="shared" ref="F4:F67" si="1">IF(AND(E4&lt;=50%),"Fail",IF(AND(E4&gt;=50%,E4&lt;=60%),"C",IF(AND(E4&gt;=60%,E4&lt;=75%),"B","A")))</f>
        <v>A</v>
      </c>
      <c r="G4" t="str">
        <f t="shared" ref="G4:G67" si="2">IF(E4&gt;=75,"A",IF(E4&gt;=60,"B",IF(E4&gt;=50,"c","fail")))</f>
        <v>fail</v>
      </c>
      <c r="H4" s="139" t="s">
        <v>669</v>
      </c>
      <c r="I4" s="140" t="s">
        <v>670</v>
      </c>
    </row>
    <row r="5" spans="1:9" x14ac:dyDescent="0.35">
      <c r="A5" s="24">
        <v>1629</v>
      </c>
      <c r="B5" s="24" t="s">
        <v>319</v>
      </c>
      <c r="C5" s="24">
        <v>600</v>
      </c>
      <c r="D5" s="24">
        <v>411</v>
      </c>
      <c r="E5" s="209">
        <f t="shared" si="0"/>
        <v>0.68500000000000005</v>
      </c>
      <c r="F5" s="138" t="str">
        <f t="shared" si="1"/>
        <v>B</v>
      </c>
      <c r="G5" t="str">
        <f t="shared" si="2"/>
        <v>fail</v>
      </c>
      <c r="H5" s="139" t="s">
        <v>671</v>
      </c>
      <c r="I5" s="140" t="s">
        <v>672</v>
      </c>
    </row>
    <row r="6" spans="1:9" ht="15" thickBot="1" x14ac:dyDescent="0.4">
      <c r="A6" s="24">
        <v>1638</v>
      </c>
      <c r="B6" s="24" t="s">
        <v>353</v>
      </c>
      <c r="C6" s="24">
        <v>600</v>
      </c>
      <c r="D6" s="24">
        <v>569</v>
      </c>
      <c r="E6" s="209">
        <f t="shared" si="0"/>
        <v>0.94833333333333336</v>
      </c>
      <c r="F6" s="138" t="str">
        <f t="shared" si="1"/>
        <v>A</v>
      </c>
      <c r="G6" t="str">
        <f t="shared" si="2"/>
        <v>fail</v>
      </c>
      <c r="H6" s="141" t="s">
        <v>673</v>
      </c>
      <c r="I6" s="142" t="s">
        <v>674</v>
      </c>
    </row>
    <row r="7" spans="1:9" x14ac:dyDescent="0.35">
      <c r="A7" s="24">
        <v>1665</v>
      </c>
      <c r="B7" s="24" t="s">
        <v>320</v>
      </c>
      <c r="C7" s="24">
        <v>600</v>
      </c>
      <c r="D7" s="24">
        <v>204</v>
      </c>
      <c r="E7" s="209">
        <f t="shared" si="0"/>
        <v>0.34</v>
      </c>
      <c r="F7" s="138" t="str">
        <f t="shared" si="1"/>
        <v>Fail</v>
      </c>
      <c r="G7" t="str">
        <f t="shared" si="2"/>
        <v>fail</v>
      </c>
    </row>
    <row r="8" spans="1:9" x14ac:dyDescent="0.35">
      <c r="A8" s="24">
        <v>1671</v>
      </c>
      <c r="B8" s="24" t="s">
        <v>334</v>
      </c>
      <c r="C8" s="24">
        <v>600</v>
      </c>
      <c r="D8" s="24">
        <v>542</v>
      </c>
      <c r="E8" s="209">
        <f t="shared" si="0"/>
        <v>0.90333333333333332</v>
      </c>
      <c r="F8" s="138" t="str">
        <f t="shared" si="1"/>
        <v>A</v>
      </c>
      <c r="G8" t="str">
        <f t="shared" si="2"/>
        <v>fail</v>
      </c>
    </row>
    <row r="9" spans="1:9" x14ac:dyDescent="0.35">
      <c r="A9" s="24">
        <v>1750</v>
      </c>
      <c r="B9" s="24" t="s">
        <v>354</v>
      </c>
      <c r="C9" s="24">
        <v>600</v>
      </c>
      <c r="D9" s="24">
        <v>342</v>
      </c>
      <c r="E9" s="209">
        <f t="shared" si="0"/>
        <v>0.56999999999999995</v>
      </c>
      <c r="F9" s="138" t="str">
        <f t="shared" si="1"/>
        <v>C</v>
      </c>
      <c r="G9" t="str">
        <f t="shared" si="2"/>
        <v>fail</v>
      </c>
    </row>
    <row r="10" spans="1:9" x14ac:dyDescent="0.35">
      <c r="A10" s="24">
        <v>1911</v>
      </c>
      <c r="B10" s="24" t="s">
        <v>300</v>
      </c>
      <c r="C10" s="24">
        <v>600</v>
      </c>
      <c r="D10" s="24">
        <v>451</v>
      </c>
      <c r="E10" s="209">
        <f t="shared" si="0"/>
        <v>0.75166666666666671</v>
      </c>
      <c r="F10" s="138" t="str">
        <f t="shared" si="1"/>
        <v>A</v>
      </c>
      <c r="G10" t="str">
        <f t="shared" si="2"/>
        <v>fail</v>
      </c>
    </row>
    <row r="11" spans="1:9" x14ac:dyDescent="0.35">
      <c r="A11" s="24">
        <v>1968</v>
      </c>
      <c r="B11" s="24" t="s">
        <v>675</v>
      </c>
      <c r="C11" s="24">
        <v>600</v>
      </c>
      <c r="D11" s="24">
        <v>295</v>
      </c>
      <c r="E11" s="209">
        <f t="shared" si="0"/>
        <v>0.49166666666666664</v>
      </c>
      <c r="F11" s="138" t="str">
        <f t="shared" si="1"/>
        <v>Fail</v>
      </c>
      <c r="G11" t="str">
        <f t="shared" si="2"/>
        <v>fail</v>
      </c>
    </row>
    <row r="12" spans="1:9" x14ac:dyDescent="0.35">
      <c r="A12" s="24">
        <v>2149</v>
      </c>
      <c r="B12" s="24" t="s">
        <v>295</v>
      </c>
      <c r="C12" s="24">
        <v>600</v>
      </c>
      <c r="D12" s="24">
        <v>448</v>
      </c>
      <c r="E12" s="209">
        <f t="shared" si="0"/>
        <v>0.7466666666666667</v>
      </c>
      <c r="F12" s="138" t="str">
        <f t="shared" si="1"/>
        <v>B</v>
      </c>
      <c r="G12" t="str">
        <f t="shared" si="2"/>
        <v>fail</v>
      </c>
    </row>
    <row r="13" spans="1:9" x14ac:dyDescent="0.35">
      <c r="A13" s="24">
        <v>2224</v>
      </c>
      <c r="B13" s="24" t="s">
        <v>329</v>
      </c>
      <c r="C13" s="24">
        <v>600</v>
      </c>
      <c r="D13" s="24">
        <v>475</v>
      </c>
      <c r="E13" s="209">
        <f t="shared" si="0"/>
        <v>0.79166666666666663</v>
      </c>
      <c r="F13" s="138" t="str">
        <f t="shared" si="1"/>
        <v>A</v>
      </c>
      <c r="G13" t="str">
        <f t="shared" si="2"/>
        <v>fail</v>
      </c>
    </row>
    <row r="14" spans="1:9" x14ac:dyDescent="0.35">
      <c r="A14" s="24">
        <v>2263</v>
      </c>
      <c r="B14" s="24" t="s">
        <v>280</v>
      </c>
      <c r="C14" s="24">
        <v>600</v>
      </c>
      <c r="D14" s="24">
        <v>528</v>
      </c>
      <c r="E14" s="209">
        <f t="shared" si="0"/>
        <v>0.88</v>
      </c>
      <c r="F14" s="138" t="str">
        <f t="shared" si="1"/>
        <v>A</v>
      </c>
      <c r="G14" t="str">
        <f t="shared" si="2"/>
        <v>fail</v>
      </c>
    </row>
    <row r="15" spans="1:9" x14ac:dyDescent="0.35">
      <c r="A15" s="24">
        <v>2278</v>
      </c>
      <c r="B15" s="24" t="s">
        <v>301</v>
      </c>
      <c r="C15" s="24">
        <v>600</v>
      </c>
      <c r="D15" s="24">
        <v>292</v>
      </c>
      <c r="E15" s="209">
        <f t="shared" si="0"/>
        <v>0.48666666666666669</v>
      </c>
      <c r="F15" s="138" t="str">
        <f t="shared" si="1"/>
        <v>Fail</v>
      </c>
      <c r="G15" t="str">
        <f t="shared" si="2"/>
        <v>fail</v>
      </c>
    </row>
    <row r="16" spans="1:9" x14ac:dyDescent="0.35">
      <c r="A16" s="24">
        <v>2290</v>
      </c>
      <c r="B16" s="24" t="s">
        <v>312</v>
      </c>
      <c r="C16" s="24">
        <v>600</v>
      </c>
      <c r="D16" s="24">
        <v>515</v>
      </c>
      <c r="E16" s="209">
        <f t="shared" si="0"/>
        <v>0.85833333333333328</v>
      </c>
      <c r="F16" s="138" t="str">
        <f t="shared" si="1"/>
        <v>A</v>
      </c>
      <c r="G16" t="str">
        <f t="shared" si="2"/>
        <v>fail</v>
      </c>
    </row>
    <row r="17" spans="1:7" x14ac:dyDescent="0.35">
      <c r="A17" s="24">
        <v>2330</v>
      </c>
      <c r="B17" s="24" t="s">
        <v>285</v>
      </c>
      <c r="C17" s="24">
        <v>600</v>
      </c>
      <c r="D17" s="24">
        <v>321</v>
      </c>
      <c r="E17" s="209">
        <f t="shared" si="0"/>
        <v>0.53500000000000003</v>
      </c>
      <c r="F17" s="138" t="str">
        <f t="shared" si="1"/>
        <v>C</v>
      </c>
      <c r="G17" t="str">
        <f t="shared" si="2"/>
        <v>fail</v>
      </c>
    </row>
    <row r="18" spans="1:7" x14ac:dyDescent="0.35">
      <c r="A18" s="24">
        <v>2378</v>
      </c>
      <c r="B18" s="24" t="s">
        <v>332</v>
      </c>
      <c r="C18" s="24">
        <v>600</v>
      </c>
      <c r="D18" s="24">
        <v>326</v>
      </c>
      <c r="E18" s="209">
        <f t="shared" si="0"/>
        <v>0.54333333333333333</v>
      </c>
      <c r="F18" s="138" t="str">
        <f t="shared" si="1"/>
        <v>C</v>
      </c>
      <c r="G18" t="str">
        <f t="shared" si="2"/>
        <v>fail</v>
      </c>
    </row>
    <row r="19" spans="1:7" x14ac:dyDescent="0.35">
      <c r="A19" s="24">
        <v>2490</v>
      </c>
      <c r="B19" s="24" t="s">
        <v>322</v>
      </c>
      <c r="C19" s="24">
        <v>600</v>
      </c>
      <c r="D19" s="24">
        <v>195</v>
      </c>
      <c r="E19" s="209">
        <f t="shared" si="0"/>
        <v>0.32500000000000001</v>
      </c>
      <c r="F19" s="138" t="str">
        <f t="shared" si="1"/>
        <v>Fail</v>
      </c>
      <c r="G19" t="str">
        <f t="shared" si="2"/>
        <v>fail</v>
      </c>
    </row>
    <row r="20" spans="1:7" x14ac:dyDescent="0.35">
      <c r="A20" s="24">
        <v>2578</v>
      </c>
      <c r="B20" s="24" t="s">
        <v>342</v>
      </c>
      <c r="C20" s="24">
        <v>600</v>
      </c>
      <c r="D20" s="24">
        <v>506</v>
      </c>
      <c r="E20" s="209">
        <f t="shared" si="0"/>
        <v>0.84333333333333338</v>
      </c>
      <c r="F20" s="138" t="str">
        <f t="shared" si="1"/>
        <v>A</v>
      </c>
      <c r="G20" t="str">
        <f t="shared" si="2"/>
        <v>fail</v>
      </c>
    </row>
    <row r="21" spans="1:7" x14ac:dyDescent="0.35">
      <c r="A21" s="24">
        <v>2748</v>
      </c>
      <c r="B21" s="24" t="s">
        <v>303</v>
      </c>
      <c r="C21" s="24">
        <v>600</v>
      </c>
      <c r="D21" s="24">
        <v>262</v>
      </c>
      <c r="E21" s="209">
        <f t="shared" si="0"/>
        <v>0.43666666666666665</v>
      </c>
      <c r="F21" s="138" t="str">
        <f t="shared" si="1"/>
        <v>Fail</v>
      </c>
      <c r="G21" t="str">
        <f t="shared" si="2"/>
        <v>fail</v>
      </c>
    </row>
    <row r="22" spans="1:7" x14ac:dyDescent="0.35">
      <c r="A22" s="24">
        <v>2755</v>
      </c>
      <c r="B22" s="24" t="s">
        <v>333</v>
      </c>
      <c r="C22" s="24">
        <v>600</v>
      </c>
      <c r="D22" s="24">
        <v>296</v>
      </c>
      <c r="E22" s="209">
        <f t="shared" si="0"/>
        <v>0.49333333333333335</v>
      </c>
      <c r="F22" s="138" t="str">
        <f t="shared" si="1"/>
        <v>Fail</v>
      </c>
      <c r="G22" t="str">
        <f t="shared" si="2"/>
        <v>fail</v>
      </c>
    </row>
    <row r="23" spans="1:7" x14ac:dyDescent="0.35">
      <c r="A23" s="24">
        <v>2767</v>
      </c>
      <c r="B23" s="24" t="s">
        <v>287</v>
      </c>
      <c r="C23" s="24">
        <v>600</v>
      </c>
      <c r="D23" s="24">
        <v>465</v>
      </c>
      <c r="E23" s="209">
        <f t="shared" si="0"/>
        <v>0.77500000000000002</v>
      </c>
      <c r="F23" s="138" t="str">
        <f t="shared" si="1"/>
        <v>A</v>
      </c>
      <c r="G23" t="str">
        <f t="shared" si="2"/>
        <v>fail</v>
      </c>
    </row>
    <row r="24" spans="1:7" x14ac:dyDescent="0.35">
      <c r="A24" s="24">
        <v>2918</v>
      </c>
      <c r="B24" s="24" t="s">
        <v>296</v>
      </c>
      <c r="C24" s="24">
        <v>600</v>
      </c>
      <c r="D24" s="24">
        <v>380</v>
      </c>
      <c r="E24" s="209">
        <f t="shared" si="0"/>
        <v>0.6333333333333333</v>
      </c>
      <c r="F24" s="138" t="str">
        <f t="shared" si="1"/>
        <v>B</v>
      </c>
      <c r="G24" t="str">
        <f t="shared" si="2"/>
        <v>fail</v>
      </c>
    </row>
    <row r="25" spans="1:7" x14ac:dyDescent="0.35">
      <c r="A25" s="24">
        <v>3078</v>
      </c>
      <c r="B25" s="24" t="s">
        <v>326</v>
      </c>
      <c r="C25" s="24">
        <v>600</v>
      </c>
      <c r="D25" s="24">
        <v>296</v>
      </c>
      <c r="E25" s="209">
        <f t="shared" si="0"/>
        <v>0.49333333333333335</v>
      </c>
      <c r="F25" s="138" t="str">
        <f t="shared" si="1"/>
        <v>Fail</v>
      </c>
      <c r="G25" t="str">
        <f t="shared" si="2"/>
        <v>fail</v>
      </c>
    </row>
    <row r="26" spans="1:7" x14ac:dyDescent="0.35">
      <c r="A26" s="24">
        <v>3092</v>
      </c>
      <c r="B26" s="24" t="s">
        <v>284</v>
      </c>
      <c r="C26" s="24">
        <v>600</v>
      </c>
      <c r="D26" s="24">
        <v>414</v>
      </c>
      <c r="E26" s="209">
        <f t="shared" si="0"/>
        <v>0.69</v>
      </c>
      <c r="F26" s="138" t="str">
        <f t="shared" si="1"/>
        <v>B</v>
      </c>
      <c r="G26" t="str">
        <f t="shared" si="2"/>
        <v>fail</v>
      </c>
    </row>
    <row r="27" spans="1:7" x14ac:dyDescent="0.35">
      <c r="A27" s="24">
        <v>3300</v>
      </c>
      <c r="B27" s="24" t="s">
        <v>340</v>
      </c>
      <c r="C27" s="24">
        <v>600</v>
      </c>
      <c r="D27" s="24">
        <v>395</v>
      </c>
      <c r="E27" s="209">
        <f t="shared" si="0"/>
        <v>0.65833333333333333</v>
      </c>
      <c r="F27" s="138" t="str">
        <f t="shared" si="1"/>
        <v>B</v>
      </c>
      <c r="G27" t="str">
        <f t="shared" si="2"/>
        <v>fail</v>
      </c>
    </row>
    <row r="28" spans="1:7" x14ac:dyDescent="0.35">
      <c r="A28" s="24">
        <v>3377</v>
      </c>
      <c r="B28" s="24" t="s">
        <v>323</v>
      </c>
      <c r="C28" s="24">
        <v>600</v>
      </c>
      <c r="D28" s="24">
        <v>416</v>
      </c>
      <c r="E28" s="209">
        <f t="shared" si="0"/>
        <v>0.69333333333333336</v>
      </c>
      <c r="F28" s="138" t="str">
        <f t="shared" si="1"/>
        <v>B</v>
      </c>
      <c r="G28" t="str">
        <f t="shared" si="2"/>
        <v>fail</v>
      </c>
    </row>
    <row r="29" spans="1:7" x14ac:dyDescent="0.35">
      <c r="A29" s="24">
        <v>3644</v>
      </c>
      <c r="B29" s="24" t="s">
        <v>305</v>
      </c>
      <c r="C29" s="24">
        <v>600</v>
      </c>
      <c r="D29" s="24">
        <v>546</v>
      </c>
      <c r="E29" s="209">
        <f t="shared" si="0"/>
        <v>0.91</v>
      </c>
      <c r="F29" s="138" t="str">
        <f t="shared" si="1"/>
        <v>A</v>
      </c>
      <c r="G29" t="str">
        <f t="shared" si="2"/>
        <v>fail</v>
      </c>
    </row>
    <row r="30" spans="1:7" x14ac:dyDescent="0.35">
      <c r="A30" s="24">
        <v>3695</v>
      </c>
      <c r="B30" s="24" t="s">
        <v>292</v>
      </c>
      <c r="C30" s="24">
        <v>600</v>
      </c>
      <c r="D30" s="24">
        <v>183</v>
      </c>
      <c r="E30" s="209">
        <f t="shared" si="0"/>
        <v>0.30499999999999999</v>
      </c>
      <c r="F30" s="138" t="str">
        <f t="shared" si="1"/>
        <v>Fail</v>
      </c>
      <c r="G30" t="str">
        <f t="shared" si="2"/>
        <v>fail</v>
      </c>
    </row>
    <row r="31" spans="1:7" x14ac:dyDescent="0.35">
      <c r="A31" s="24">
        <v>3791</v>
      </c>
      <c r="B31" s="24" t="s">
        <v>297</v>
      </c>
      <c r="C31" s="24">
        <v>600</v>
      </c>
      <c r="D31" s="24">
        <v>243</v>
      </c>
      <c r="E31" s="209">
        <f t="shared" si="0"/>
        <v>0.40500000000000003</v>
      </c>
      <c r="F31" s="138" t="str">
        <f t="shared" si="1"/>
        <v>Fail</v>
      </c>
      <c r="G31" t="str">
        <f t="shared" si="2"/>
        <v>fail</v>
      </c>
    </row>
    <row r="32" spans="1:7" x14ac:dyDescent="0.35">
      <c r="A32" s="24">
        <v>3827</v>
      </c>
      <c r="B32" s="24" t="s">
        <v>267</v>
      </c>
      <c r="C32" s="24">
        <v>600</v>
      </c>
      <c r="D32" s="24">
        <v>550</v>
      </c>
      <c r="E32" s="209">
        <f t="shared" si="0"/>
        <v>0.91666666666666663</v>
      </c>
      <c r="F32" s="138" t="str">
        <f t="shared" si="1"/>
        <v>A</v>
      </c>
      <c r="G32" t="str">
        <f t="shared" si="2"/>
        <v>fail</v>
      </c>
    </row>
    <row r="33" spans="1:7" x14ac:dyDescent="0.35">
      <c r="A33" s="24">
        <v>3967</v>
      </c>
      <c r="B33" s="24" t="s">
        <v>345</v>
      </c>
      <c r="C33" s="24">
        <v>600</v>
      </c>
      <c r="D33" s="24">
        <v>545</v>
      </c>
      <c r="E33" s="209">
        <f t="shared" si="0"/>
        <v>0.90833333333333333</v>
      </c>
      <c r="F33" s="138" t="str">
        <f t="shared" si="1"/>
        <v>A</v>
      </c>
      <c r="G33" t="str">
        <f t="shared" si="2"/>
        <v>fail</v>
      </c>
    </row>
    <row r="34" spans="1:7" x14ac:dyDescent="0.35">
      <c r="A34" s="24">
        <v>4031</v>
      </c>
      <c r="B34" s="24" t="s">
        <v>286</v>
      </c>
      <c r="C34" s="24">
        <v>600</v>
      </c>
      <c r="D34" s="24">
        <v>188</v>
      </c>
      <c r="E34" s="209">
        <f t="shared" si="0"/>
        <v>0.31333333333333335</v>
      </c>
      <c r="F34" s="138" t="str">
        <f t="shared" si="1"/>
        <v>Fail</v>
      </c>
      <c r="G34" t="str">
        <f t="shared" si="2"/>
        <v>fail</v>
      </c>
    </row>
    <row r="35" spans="1:7" x14ac:dyDescent="0.35">
      <c r="A35" s="24">
        <v>4253</v>
      </c>
      <c r="B35" s="24" t="s">
        <v>310</v>
      </c>
      <c r="C35" s="24">
        <v>600</v>
      </c>
      <c r="D35" s="24">
        <v>174</v>
      </c>
      <c r="E35" s="209">
        <f t="shared" si="0"/>
        <v>0.28999999999999998</v>
      </c>
      <c r="F35" s="138" t="str">
        <f t="shared" si="1"/>
        <v>Fail</v>
      </c>
      <c r="G35" t="str">
        <f t="shared" si="2"/>
        <v>fail</v>
      </c>
    </row>
    <row r="36" spans="1:7" x14ac:dyDescent="0.35">
      <c r="A36" s="24">
        <v>4321</v>
      </c>
      <c r="B36" s="24" t="s">
        <v>321</v>
      </c>
      <c r="C36" s="24">
        <v>600</v>
      </c>
      <c r="D36" s="24">
        <v>392</v>
      </c>
      <c r="E36" s="209">
        <f t="shared" si="0"/>
        <v>0.65333333333333332</v>
      </c>
      <c r="F36" s="138" t="str">
        <f t="shared" si="1"/>
        <v>B</v>
      </c>
      <c r="G36" t="str">
        <f t="shared" si="2"/>
        <v>fail</v>
      </c>
    </row>
    <row r="37" spans="1:7" x14ac:dyDescent="0.35">
      <c r="A37" s="24">
        <v>4338</v>
      </c>
      <c r="B37" s="24" t="s">
        <v>676</v>
      </c>
      <c r="C37" s="24">
        <v>600</v>
      </c>
      <c r="D37" s="24">
        <v>412</v>
      </c>
      <c r="E37" s="209">
        <f t="shared" si="0"/>
        <v>0.68666666666666665</v>
      </c>
      <c r="F37" s="138" t="str">
        <f t="shared" si="1"/>
        <v>B</v>
      </c>
      <c r="G37" t="str">
        <f t="shared" si="2"/>
        <v>fail</v>
      </c>
    </row>
    <row r="38" spans="1:7" x14ac:dyDescent="0.35">
      <c r="A38" s="24">
        <v>4721</v>
      </c>
      <c r="B38" s="24" t="s">
        <v>344</v>
      </c>
      <c r="C38" s="24">
        <v>600</v>
      </c>
      <c r="D38" s="24">
        <v>151</v>
      </c>
      <c r="E38" s="209">
        <f t="shared" si="0"/>
        <v>0.25166666666666665</v>
      </c>
      <c r="F38" s="138" t="str">
        <f t="shared" si="1"/>
        <v>Fail</v>
      </c>
      <c r="G38" t="str">
        <f t="shared" si="2"/>
        <v>fail</v>
      </c>
    </row>
    <row r="39" spans="1:7" x14ac:dyDescent="0.35">
      <c r="A39" s="24">
        <v>4750</v>
      </c>
      <c r="B39" s="24" t="s">
        <v>356</v>
      </c>
      <c r="C39" s="24">
        <v>600</v>
      </c>
      <c r="D39" s="24">
        <v>352</v>
      </c>
      <c r="E39" s="209">
        <f t="shared" si="0"/>
        <v>0.58666666666666667</v>
      </c>
      <c r="F39" s="138" t="str">
        <f t="shared" si="1"/>
        <v>C</v>
      </c>
      <c r="G39" t="str">
        <f t="shared" si="2"/>
        <v>fail</v>
      </c>
    </row>
    <row r="40" spans="1:7" x14ac:dyDescent="0.35">
      <c r="A40" s="24">
        <v>4817</v>
      </c>
      <c r="B40" s="24" t="s">
        <v>343</v>
      </c>
      <c r="C40" s="24">
        <v>600</v>
      </c>
      <c r="D40" s="24">
        <v>336</v>
      </c>
      <c r="E40" s="209">
        <f t="shared" si="0"/>
        <v>0.56000000000000005</v>
      </c>
      <c r="F40" s="138" t="str">
        <f t="shared" si="1"/>
        <v>C</v>
      </c>
      <c r="G40" t="str">
        <f t="shared" si="2"/>
        <v>fail</v>
      </c>
    </row>
    <row r="41" spans="1:7" x14ac:dyDescent="0.35">
      <c r="A41" s="24">
        <v>4840</v>
      </c>
      <c r="B41" s="24" t="s">
        <v>347</v>
      </c>
      <c r="C41" s="24">
        <v>600</v>
      </c>
      <c r="D41" s="24">
        <v>389</v>
      </c>
      <c r="E41" s="209">
        <f t="shared" si="0"/>
        <v>0.64833333333333332</v>
      </c>
      <c r="F41" s="138" t="str">
        <f t="shared" si="1"/>
        <v>B</v>
      </c>
      <c r="G41" t="str">
        <f t="shared" si="2"/>
        <v>fail</v>
      </c>
    </row>
    <row r="42" spans="1:7" x14ac:dyDescent="0.35">
      <c r="A42" s="24">
        <v>4941</v>
      </c>
      <c r="B42" s="24" t="s">
        <v>315</v>
      </c>
      <c r="C42" s="24">
        <v>600</v>
      </c>
      <c r="D42" s="24">
        <v>518</v>
      </c>
      <c r="E42" s="209">
        <f t="shared" si="0"/>
        <v>0.86333333333333329</v>
      </c>
      <c r="F42" s="138" t="str">
        <f t="shared" si="1"/>
        <v>A</v>
      </c>
      <c r="G42" t="str">
        <f t="shared" si="2"/>
        <v>fail</v>
      </c>
    </row>
    <row r="43" spans="1:7" x14ac:dyDescent="0.35">
      <c r="A43" s="24">
        <v>4974</v>
      </c>
      <c r="B43" s="24" t="s">
        <v>293</v>
      </c>
      <c r="C43" s="24">
        <v>600</v>
      </c>
      <c r="D43" s="24">
        <v>273</v>
      </c>
      <c r="E43" s="209">
        <f t="shared" si="0"/>
        <v>0.45500000000000002</v>
      </c>
      <c r="F43" s="138" t="str">
        <f t="shared" si="1"/>
        <v>Fail</v>
      </c>
      <c r="G43" t="str">
        <f t="shared" si="2"/>
        <v>fail</v>
      </c>
    </row>
    <row r="44" spans="1:7" x14ac:dyDescent="0.35">
      <c r="A44" s="24">
        <v>4985</v>
      </c>
      <c r="B44" s="24" t="s">
        <v>314</v>
      </c>
      <c r="C44" s="24">
        <v>600</v>
      </c>
      <c r="D44" s="24">
        <v>467</v>
      </c>
      <c r="E44" s="209">
        <f t="shared" si="0"/>
        <v>0.77833333333333332</v>
      </c>
      <c r="F44" s="138" t="str">
        <f t="shared" si="1"/>
        <v>A</v>
      </c>
      <c r="G44" t="str">
        <f t="shared" si="2"/>
        <v>fail</v>
      </c>
    </row>
    <row r="45" spans="1:7" x14ac:dyDescent="0.35">
      <c r="A45" s="24">
        <v>4995</v>
      </c>
      <c r="B45" s="24" t="s">
        <v>341</v>
      </c>
      <c r="C45" s="24">
        <v>600</v>
      </c>
      <c r="D45" s="24">
        <v>494</v>
      </c>
      <c r="E45" s="209">
        <f t="shared" si="0"/>
        <v>0.82333333333333336</v>
      </c>
      <c r="F45" s="138" t="str">
        <f t="shared" si="1"/>
        <v>A</v>
      </c>
      <c r="G45" t="str">
        <f t="shared" si="2"/>
        <v>fail</v>
      </c>
    </row>
    <row r="46" spans="1:7" x14ac:dyDescent="0.35">
      <c r="A46" s="24">
        <v>5149</v>
      </c>
      <c r="B46" s="24" t="s">
        <v>288</v>
      </c>
      <c r="C46" s="24">
        <v>600</v>
      </c>
      <c r="D46" s="24">
        <v>176</v>
      </c>
      <c r="E46" s="209">
        <f t="shared" si="0"/>
        <v>0.29333333333333333</v>
      </c>
      <c r="F46" s="138" t="str">
        <f t="shared" si="1"/>
        <v>Fail</v>
      </c>
      <c r="G46" t="str">
        <f t="shared" si="2"/>
        <v>fail</v>
      </c>
    </row>
    <row r="47" spans="1:7" x14ac:dyDescent="0.35">
      <c r="A47" s="24">
        <v>5323</v>
      </c>
      <c r="B47" s="24" t="s">
        <v>324</v>
      </c>
      <c r="C47" s="24">
        <v>600</v>
      </c>
      <c r="D47" s="24">
        <v>508</v>
      </c>
      <c r="E47" s="209">
        <f t="shared" si="0"/>
        <v>0.84666666666666668</v>
      </c>
      <c r="F47" s="138" t="str">
        <f t="shared" si="1"/>
        <v>A</v>
      </c>
      <c r="G47" t="str">
        <f t="shared" si="2"/>
        <v>fail</v>
      </c>
    </row>
    <row r="48" spans="1:7" x14ac:dyDescent="0.35">
      <c r="A48" s="24">
        <v>5526</v>
      </c>
      <c r="B48" s="24" t="s">
        <v>331</v>
      </c>
      <c r="C48" s="24">
        <v>600</v>
      </c>
      <c r="D48" s="24">
        <v>404</v>
      </c>
      <c r="E48" s="209">
        <f t="shared" si="0"/>
        <v>0.67333333333333334</v>
      </c>
      <c r="F48" s="138" t="str">
        <f t="shared" si="1"/>
        <v>B</v>
      </c>
      <c r="G48" t="str">
        <f t="shared" si="2"/>
        <v>fail</v>
      </c>
    </row>
    <row r="49" spans="1:7" x14ac:dyDescent="0.35">
      <c r="A49" s="24">
        <v>5735</v>
      </c>
      <c r="B49" s="24" t="s">
        <v>306</v>
      </c>
      <c r="C49" s="24">
        <v>600</v>
      </c>
      <c r="D49" s="24">
        <v>480</v>
      </c>
      <c r="E49" s="209">
        <f t="shared" si="0"/>
        <v>0.8</v>
      </c>
      <c r="F49" s="138" t="str">
        <f t="shared" si="1"/>
        <v>A</v>
      </c>
      <c r="G49" t="str">
        <f t="shared" si="2"/>
        <v>fail</v>
      </c>
    </row>
    <row r="50" spans="1:7" x14ac:dyDescent="0.35">
      <c r="A50" s="24">
        <v>5994</v>
      </c>
      <c r="B50" s="24" t="s">
        <v>325</v>
      </c>
      <c r="C50" s="24">
        <v>600</v>
      </c>
      <c r="D50" s="24">
        <v>318</v>
      </c>
      <c r="E50" s="209">
        <f t="shared" si="0"/>
        <v>0.53</v>
      </c>
      <c r="F50" s="138" t="str">
        <f t="shared" si="1"/>
        <v>C</v>
      </c>
      <c r="G50" t="str">
        <f t="shared" si="2"/>
        <v>fail</v>
      </c>
    </row>
    <row r="51" spans="1:7" x14ac:dyDescent="0.35">
      <c r="A51" s="24">
        <v>6143</v>
      </c>
      <c r="B51" s="24" t="s">
        <v>294</v>
      </c>
      <c r="C51" s="24">
        <v>600</v>
      </c>
      <c r="D51" s="24">
        <v>296</v>
      </c>
      <c r="E51" s="209">
        <f t="shared" si="0"/>
        <v>0.49333333333333335</v>
      </c>
      <c r="F51" s="138" t="str">
        <f t="shared" si="1"/>
        <v>Fail</v>
      </c>
      <c r="G51" t="str">
        <f t="shared" si="2"/>
        <v>fail</v>
      </c>
    </row>
    <row r="52" spans="1:7" x14ac:dyDescent="0.35">
      <c r="A52" s="24">
        <v>6375</v>
      </c>
      <c r="B52" s="24" t="s">
        <v>299</v>
      </c>
      <c r="C52" s="24">
        <v>600</v>
      </c>
      <c r="D52" s="24">
        <v>233</v>
      </c>
      <c r="E52" s="209">
        <f t="shared" si="0"/>
        <v>0.38833333333333331</v>
      </c>
      <c r="F52" s="138" t="str">
        <f t="shared" si="1"/>
        <v>Fail</v>
      </c>
      <c r="G52" t="str">
        <f t="shared" si="2"/>
        <v>fail</v>
      </c>
    </row>
    <row r="53" spans="1:7" x14ac:dyDescent="0.35">
      <c r="A53" s="24">
        <v>6376</v>
      </c>
      <c r="B53" s="24" t="s">
        <v>677</v>
      </c>
      <c r="C53" s="24">
        <v>600</v>
      </c>
      <c r="D53" s="24">
        <v>154</v>
      </c>
      <c r="E53" s="209">
        <f t="shared" si="0"/>
        <v>0.25666666666666665</v>
      </c>
      <c r="F53" s="138" t="str">
        <f t="shared" si="1"/>
        <v>Fail</v>
      </c>
      <c r="G53" t="str">
        <f t="shared" si="2"/>
        <v>fail</v>
      </c>
    </row>
    <row r="54" spans="1:7" x14ac:dyDescent="0.35">
      <c r="A54" s="24">
        <v>6402</v>
      </c>
      <c r="B54" s="24" t="s">
        <v>290</v>
      </c>
      <c r="C54" s="24">
        <v>600</v>
      </c>
      <c r="D54" s="24">
        <v>252</v>
      </c>
      <c r="E54" s="209">
        <f t="shared" si="0"/>
        <v>0.42</v>
      </c>
      <c r="F54" s="138" t="str">
        <f t="shared" si="1"/>
        <v>Fail</v>
      </c>
      <c r="G54" t="str">
        <f t="shared" si="2"/>
        <v>fail</v>
      </c>
    </row>
    <row r="55" spans="1:7" x14ac:dyDescent="0.35">
      <c r="A55" s="24">
        <v>6629</v>
      </c>
      <c r="B55" s="24" t="s">
        <v>308</v>
      </c>
      <c r="C55" s="24">
        <v>600</v>
      </c>
      <c r="D55" s="24">
        <v>548</v>
      </c>
      <c r="E55" s="209">
        <f t="shared" si="0"/>
        <v>0.91333333333333333</v>
      </c>
      <c r="F55" s="138" t="str">
        <f t="shared" si="1"/>
        <v>A</v>
      </c>
      <c r="G55" t="str">
        <f t="shared" si="2"/>
        <v>fail</v>
      </c>
    </row>
    <row r="56" spans="1:7" x14ac:dyDescent="0.35">
      <c r="A56" s="24">
        <v>6776</v>
      </c>
      <c r="B56" s="24" t="s">
        <v>318</v>
      </c>
      <c r="C56" s="24">
        <v>600</v>
      </c>
      <c r="D56" s="24">
        <v>306</v>
      </c>
      <c r="E56" s="209">
        <f t="shared" si="0"/>
        <v>0.51</v>
      </c>
      <c r="F56" s="138" t="str">
        <f t="shared" si="1"/>
        <v>C</v>
      </c>
      <c r="G56" t="str">
        <f t="shared" si="2"/>
        <v>fail</v>
      </c>
    </row>
    <row r="57" spans="1:7" x14ac:dyDescent="0.35">
      <c r="A57" s="24">
        <v>6811</v>
      </c>
      <c r="B57" s="24" t="s">
        <v>317</v>
      </c>
      <c r="C57" s="24">
        <v>600</v>
      </c>
      <c r="D57" s="24">
        <v>228</v>
      </c>
      <c r="E57" s="209">
        <f t="shared" si="0"/>
        <v>0.38</v>
      </c>
      <c r="F57" s="138" t="str">
        <f t="shared" si="1"/>
        <v>Fail</v>
      </c>
      <c r="G57" t="str">
        <f t="shared" si="2"/>
        <v>fail</v>
      </c>
    </row>
    <row r="58" spans="1:7" x14ac:dyDescent="0.35">
      <c r="A58" s="24">
        <v>6837</v>
      </c>
      <c r="B58" s="24" t="s">
        <v>328</v>
      </c>
      <c r="C58" s="24">
        <v>600</v>
      </c>
      <c r="D58" s="24">
        <v>150</v>
      </c>
      <c r="E58" s="209">
        <f t="shared" si="0"/>
        <v>0.25</v>
      </c>
      <c r="F58" s="138" t="str">
        <f t="shared" si="1"/>
        <v>Fail</v>
      </c>
      <c r="G58" t="str">
        <f t="shared" si="2"/>
        <v>fail</v>
      </c>
    </row>
    <row r="59" spans="1:7" x14ac:dyDescent="0.35">
      <c r="A59" s="24">
        <v>6863</v>
      </c>
      <c r="B59" s="24" t="s">
        <v>352</v>
      </c>
      <c r="C59" s="24">
        <v>600</v>
      </c>
      <c r="D59" s="24">
        <v>296</v>
      </c>
      <c r="E59" s="209">
        <f t="shared" si="0"/>
        <v>0.49333333333333335</v>
      </c>
      <c r="F59" s="138" t="str">
        <f t="shared" si="1"/>
        <v>Fail</v>
      </c>
      <c r="G59" t="str">
        <f t="shared" si="2"/>
        <v>fail</v>
      </c>
    </row>
    <row r="60" spans="1:7" x14ac:dyDescent="0.35">
      <c r="A60" s="24">
        <v>7073</v>
      </c>
      <c r="B60" s="24" t="s">
        <v>304</v>
      </c>
      <c r="C60" s="24">
        <v>600</v>
      </c>
      <c r="D60" s="24">
        <v>558</v>
      </c>
      <c r="E60" s="209">
        <f t="shared" si="0"/>
        <v>0.93</v>
      </c>
      <c r="F60" s="138" t="str">
        <f t="shared" si="1"/>
        <v>A</v>
      </c>
      <c r="G60" t="str">
        <f t="shared" si="2"/>
        <v>fail</v>
      </c>
    </row>
    <row r="61" spans="1:7" x14ac:dyDescent="0.35">
      <c r="A61" s="24">
        <v>7115</v>
      </c>
      <c r="B61" s="24" t="s">
        <v>291</v>
      </c>
      <c r="C61" s="24">
        <v>600</v>
      </c>
      <c r="D61" s="24">
        <v>395</v>
      </c>
      <c r="E61" s="209">
        <f t="shared" si="0"/>
        <v>0.65833333333333333</v>
      </c>
      <c r="F61" s="138" t="str">
        <f t="shared" si="1"/>
        <v>B</v>
      </c>
      <c r="G61" t="str">
        <f t="shared" si="2"/>
        <v>fail</v>
      </c>
    </row>
    <row r="62" spans="1:7" x14ac:dyDescent="0.35">
      <c r="A62" s="24">
        <v>7364</v>
      </c>
      <c r="B62" s="24" t="s">
        <v>298</v>
      </c>
      <c r="C62" s="24">
        <v>600</v>
      </c>
      <c r="D62" s="24">
        <v>242</v>
      </c>
      <c r="E62" s="209">
        <f t="shared" si="0"/>
        <v>0.40333333333333332</v>
      </c>
      <c r="F62" s="138" t="str">
        <f t="shared" si="1"/>
        <v>Fail</v>
      </c>
      <c r="G62" t="str">
        <f t="shared" si="2"/>
        <v>fail</v>
      </c>
    </row>
    <row r="63" spans="1:7" x14ac:dyDescent="0.35">
      <c r="A63" s="24">
        <v>7562</v>
      </c>
      <c r="B63" s="24" t="s">
        <v>313</v>
      </c>
      <c r="C63" s="24">
        <v>600</v>
      </c>
      <c r="D63" s="24">
        <v>343</v>
      </c>
      <c r="E63" s="209">
        <f t="shared" si="0"/>
        <v>0.57166666666666666</v>
      </c>
      <c r="F63" s="138" t="str">
        <f t="shared" si="1"/>
        <v>C</v>
      </c>
      <c r="G63" t="str">
        <f t="shared" si="2"/>
        <v>fail</v>
      </c>
    </row>
    <row r="64" spans="1:7" x14ac:dyDescent="0.35">
      <c r="A64" s="24">
        <v>8101</v>
      </c>
      <c r="B64" s="24" t="s">
        <v>302</v>
      </c>
      <c r="C64" s="24">
        <v>600</v>
      </c>
      <c r="D64" s="24">
        <v>378</v>
      </c>
      <c r="E64" s="209">
        <f t="shared" si="0"/>
        <v>0.63</v>
      </c>
      <c r="F64" s="138" t="str">
        <f t="shared" si="1"/>
        <v>B</v>
      </c>
      <c r="G64" t="str">
        <f t="shared" si="2"/>
        <v>fail</v>
      </c>
    </row>
    <row r="65" spans="1:7" x14ac:dyDescent="0.35">
      <c r="A65" s="24">
        <v>8133</v>
      </c>
      <c r="B65" s="24" t="s">
        <v>307</v>
      </c>
      <c r="C65" s="24">
        <v>600</v>
      </c>
      <c r="D65" s="24">
        <v>447</v>
      </c>
      <c r="E65" s="209">
        <f t="shared" si="0"/>
        <v>0.745</v>
      </c>
      <c r="F65" s="138" t="str">
        <f t="shared" si="1"/>
        <v>B</v>
      </c>
      <c r="G65" t="str">
        <f t="shared" si="2"/>
        <v>fail</v>
      </c>
    </row>
    <row r="66" spans="1:7" x14ac:dyDescent="0.35">
      <c r="A66" s="24">
        <v>8448</v>
      </c>
      <c r="B66" s="24" t="s">
        <v>311</v>
      </c>
      <c r="C66" s="24">
        <v>600</v>
      </c>
      <c r="D66" s="24">
        <v>407</v>
      </c>
      <c r="E66" s="209">
        <f t="shared" si="0"/>
        <v>0.67833333333333334</v>
      </c>
      <c r="F66" s="138" t="str">
        <f t="shared" si="1"/>
        <v>B</v>
      </c>
      <c r="G66" t="str">
        <f t="shared" si="2"/>
        <v>fail</v>
      </c>
    </row>
    <row r="67" spans="1:7" x14ac:dyDescent="0.35">
      <c r="A67" s="24">
        <v>8509</v>
      </c>
      <c r="B67" s="24" t="s">
        <v>282</v>
      </c>
      <c r="C67" s="24">
        <v>600</v>
      </c>
      <c r="D67" s="24">
        <v>422</v>
      </c>
      <c r="E67" s="209">
        <f t="shared" si="0"/>
        <v>0.70333333333333337</v>
      </c>
      <c r="F67" s="138" t="str">
        <f t="shared" si="1"/>
        <v>B</v>
      </c>
      <c r="G67" t="str">
        <f t="shared" si="2"/>
        <v>fail</v>
      </c>
    </row>
    <row r="68" spans="1:7" x14ac:dyDescent="0.35">
      <c r="A68" s="24">
        <v>8528</v>
      </c>
      <c r="B68" s="24" t="s">
        <v>346</v>
      </c>
      <c r="C68" s="24">
        <v>600</v>
      </c>
      <c r="D68" s="24">
        <v>210</v>
      </c>
      <c r="E68" s="209">
        <f t="shared" ref="E68:E81" si="3">D68/C68</f>
        <v>0.35</v>
      </c>
      <c r="F68" s="138" t="str">
        <f t="shared" ref="F68:F81" si="4">IF(AND(E68&lt;=50%),"Fail",IF(AND(E68&gt;=50%,E68&lt;=60%),"C",IF(AND(E68&gt;=60%,E68&lt;=75%),"B","A")))</f>
        <v>Fail</v>
      </c>
      <c r="G68" t="str">
        <f t="shared" ref="G68:G81" si="5">IF(E68&gt;=75,"A",IF(E68&gt;=60,"B",IF(E68&gt;=50,"c","fail")))</f>
        <v>fail</v>
      </c>
    </row>
    <row r="69" spans="1:7" x14ac:dyDescent="0.35">
      <c r="A69" s="24">
        <v>8576</v>
      </c>
      <c r="B69" s="24" t="s">
        <v>339</v>
      </c>
      <c r="C69" s="24">
        <v>600</v>
      </c>
      <c r="D69" s="24">
        <v>188</v>
      </c>
      <c r="E69" s="209">
        <f t="shared" si="3"/>
        <v>0.31333333333333335</v>
      </c>
      <c r="F69" s="138" t="str">
        <f t="shared" si="4"/>
        <v>Fail</v>
      </c>
      <c r="G69" t="str">
        <f t="shared" si="5"/>
        <v>fail</v>
      </c>
    </row>
    <row r="70" spans="1:7" x14ac:dyDescent="0.35">
      <c r="A70" s="24">
        <v>8643</v>
      </c>
      <c r="B70" s="24" t="s">
        <v>335</v>
      </c>
      <c r="C70" s="24">
        <v>600</v>
      </c>
      <c r="D70" s="24">
        <v>335</v>
      </c>
      <c r="E70" s="209">
        <f t="shared" si="3"/>
        <v>0.55833333333333335</v>
      </c>
      <c r="F70" s="138" t="str">
        <f t="shared" si="4"/>
        <v>C</v>
      </c>
      <c r="G70" t="str">
        <f t="shared" si="5"/>
        <v>fail</v>
      </c>
    </row>
    <row r="71" spans="1:7" x14ac:dyDescent="0.35">
      <c r="A71" s="24">
        <v>8643</v>
      </c>
      <c r="B71" s="24" t="s">
        <v>348</v>
      </c>
      <c r="C71" s="24">
        <v>600</v>
      </c>
      <c r="D71" s="24">
        <v>404</v>
      </c>
      <c r="E71" s="209">
        <f t="shared" si="3"/>
        <v>0.67333333333333334</v>
      </c>
      <c r="F71" s="138" t="str">
        <f t="shared" si="4"/>
        <v>B</v>
      </c>
      <c r="G71" t="str">
        <f t="shared" si="5"/>
        <v>fail</v>
      </c>
    </row>
    <row r="72" spans="1:7" x14ac:dyDescent="0.35">
      <c r="A72" s="24">
        <v>8650</v>
      </c>
      <c r="B72" s="24" t="s">
        <v>355</v>
      </c>
      <c r="C72" s="24">
        <v>600</v>
      </c>
      <c r="D72" s="24">
        <v>242</v>
      </c>
      <c r="E72" s="209">
        <f t="shared" si="3"/>
        <v>0.40333333333333332</v>
      </c>
      <c r="F72" s="138" t="str">
        <f t="shared" si="4"/>
        <v>Fail</v>
      </c>
      <c r="G72" t="str">
        <f t="shared" si="5"/>
        <v>fail</v>
      </c>
    </row>
    <row r="73" spans="1:7" x14ac:dyDescent="0.35">
      <c r="A73" s="24">
        <v>8653</v>
      </c>
      <c r="B73" s="24" t="s">
        <v>316</v>
      </c>
      <c r="C73" s="24">
        <v>600</v>
      </c>
      <c r="D73" s="24">
        <v>489</v>
      </c>
      <c r="E73" s="209">
        <f t="shared" si="3"/>
        <v>0.81499999999999995</v>
      </c>
      <c r="F73" s="138" t="str">
        <f t="shared" si="4"/>
        <v>A</v>
      </c>
      <c r="G73" t="str">
        <f t="shared" si="5"/>
        <v>fail</v>
      </c>
    </row>
    <row r="74" spans="1:7" x14ac:dyDescent="0.35">
      <c r="A74" s="24">
        <v>8669</v>
      </c>
      <c r="B74" s="24" t="s">
        <v>351</v>
      </c>
      <c r="C74" s="24">
        <v>600</v>
      </c>
      <c r="D74" s="24">
        <v>440</v>
      </c>
      <c r="E74" s="209">
        <f t="shared" si="3"/>
        <v>0.73333333333333328</v>
      </c>
      <c r="F74" s="138" t="str">
        <f t="shared" si="4"/>
        <v>B</v>
      </c>
      <c r="G74" t="str">
        <f t="shared" si="5"/>
        <v>fail</v>
      </c>
    </row>
    <row r="75" spans="1:7" x14ac:dyDescent="0.35">
      <c r="A75" s="24">
        <v>8681</v>
      </c>
      <c r="B75" s="24" t="s">
        <v>330</v>
      </c>
      <c r="C75" s="24">
        <v>600</v>
      </c>
      <c r="D75" s="24">
        <v>385</v>
      </c>
      <c r="E75" s="209">
        <f t="shared" si="3"/>
        <v>0.64166666666666672</v>
      </c>
      <c r="F75" s="138" t="str">
        <f t="shared" si="4"/>
        <v>B</v>
      </c>
      <c r="G75" t="str">
        <f t="shared" si="5"/>
        <v>fail</v>
      </c>
    </row>
    <row r="76" spans="1:7" x14ac:dyDescent="0.35">
      <c r="A76" s="24">
        <v>8756</v>
      </c>
      <c r="B76" s="24" t="s">
        <v>283</v>
      </c>
      <c r="C76" s="24">
        <v>600</v>
      </c>
      <c r="D76" s="24">
        <v>447</v>
      </c>
      <c r="E76" s="209">
        <f t="shared" si="3"/>
        <v>0.745</v>
      </c>
      <c r="F76" s="138" t="str">
        <f t="shared" si="4"/>
        <v>B</v>
      </c>
      <c r="G76" t="str">
        <f t="shared" si="5"/>
        <v>fail</v>
      </c>
    </row>
    <row r="77" spans="1:7" x14ac:dyDescent="0.35">
      <c r="A77" s="24">
        <v>9312</v>
      </c>
      <c r="B77" s="24" t="s">
        <v>309</v>
      </c>
      <c r="C77" s="24">
        <v>600</v>
      </c>
      <c r="D77" s="24">
        <v>492</v>
      </c>
      <c r="E77" s="209">
        <f t="shared" si="3"/>
        <v>0.82</v>
      </c>
      <c r="F77" s="138" t="str">
        <f t="shared" si="4"/>
        <v>A</v>
      </c>
      <c r="G77" t="str">
        <f t="shared" si="5"/>
        <v>fail</v>
      </c>
    </row>
    <row r="78" spans="1:7" x14ac:dyDescent="0.35">
      <c r="A78" s="24">
        <v>9410</v>
      </c>
      <c r="B78" s="24" t="s">
        <v>289</v>
      </c>
      <c r="C78" s="24">
        <v>600</v>
      </c>
      <c r="D78" s="24">
        <v>198</v>
      </c>
      <c r="E78" s="209">
        <f t="shared" si="3"/>
        <v>0.33</v>
      </c>
      <c r="F78" s="138" t="str">
        <f t="shared" si="4"/>
        <v>Fail</v>
      </c>
      <c r="G78" t="str">
        <f t="shared" si="5"/>
        <v>fail</v>
      </c>
    </row>
    <row r="79" spans="1:7" x14ac:dyDescent="0.35">
      <c r="A79" s="24">
        <v>9430</v>
      </c>
      <c r="B79" s="24" t="s">
        <v>336</v>
      </c>
      <c r="C79" s="24">
        <v>600</v>
      </c>
      <c r="D79" s="24">
        <v>539</v>
      </c>
      <c r="E79" s="209">
        <f t="shared" si="3"/>
        <v>0.89833333333333332</v>
      </c>
      <c r="F79" s="138" t="str">
        <f t="shared" si="4"/>
        <v>A</v>
      </c>
      <c r="G79" t="str">
        <f t="shared" si="5"/>
        <v>fail</v>
      </c>
    </row>
    <row r="80" spans="1:7" x14ac:dyDescent="0.35">
      <c r="A80" s="24">
        <v>9689</v>
      </c>
      <c r="B80" s="24" t="s">
        <v>337</v>
      </c>
      <c r="C80" s="24">
        <v>600</v>
      </c>
      <c r="D80" s="24">
        <v>215</v>
      </c>
      <c r="E80" s="209">
        <f t="shared" si="3"/>
        <v>0.35833333333333334</v>
      </c>
      <c r="F80" s="138" t="str">
        <f t="shared" si="4"/>
        <v>Fail</v>
      </c>
      <c r="G80" t="str">
        <f t="shared" si="5"/>
        <v>fail</v>
      </c>
    </row>
    <row r="81" spans="1:7" x14ac:dyDescent="0.35">
      <c r="A81" s="24">
        <v>9709</v>
      </c>
      <c r="B81" s="24" t="s">
        <v>124</v>
      </c>
      <c r="C81" s="24">
        <v>600</v>
      </c>
      <c r="D81" s="24">
        <v>154</v>
      </c>
      <c r="E81" s="209">
        <f t="shared" si="3"/>
        <v>0.25666666666666665</v>
      </c>
      <c r="F81" s="138" t="str">
        <f t="shared" si="4"/>
        <v>Fail</v>
      </c>
      <c r="G81" t="str">
        <f t="shared" si="5"/>
        <v>fail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760"/>
  <sheetViews>
    <sheetView showGridLines="0" workbookViewId="0"/>
  </sheetViews>
  <sheetFormatPr defaultRowHeight="14.5" x14ac:dyDescent="0.35"/>
  <cols>
    <col min="1" max="1" width="7" bestFit="1" customWidth="1"/>
    <col min="2" max="2" width="10.1796875" bestFit="1" customWidth="1"/>
    <col min="3" max="3" width="23.81640625" style="195" bestFit="1" customWidth="1"/>
    <col min="4" max="4" width="6" style="195" bestFit="1" customWidth="1"/>
    <col min="6" max="6" width="7" bestFit="1" customWidth="1"/>
    <col min="7" max="7" width="17.7265625" style="195" customWidth="1"/>
    <col min="8" max="8" width="9.7265625" style="195" customWidth="1"/>
    <col min="9" max="9" width="3.7265625" bestFit="1" customWidth="1"/>
    <col min="10" max="10" width="12.54296875" bestFit="1" customWidth="1"/>
    <col min="11" max="11" width="9.26953125" customWidth="1"/>
    <col min="12" max="12" width="7.54296875" bestFit="1" customWidth="1"/>
    <col min="13" max="22" width="6.81640625" bestFit="1" customWidth="1"/>
  </cols>
  <sheetData>
    <row r="1" spans="1:23" ht="15" thickBot="1" x14ac:dyDescent="0.4">
      <c r="A1" s="143" t="s">
        <v>1450</v>
      </c>
      <c r="B1" s="240" t="s">
        <v>678</v>
      </c>
      <c r="C1" s="240"/>
      <c r="D1" s="240"/>
      <c r="E1" s="240"/>
      <c r="F1" s="240"/>
      <c r="G1" s="240"/>
      <c r="H1" s="240"/>
      <c r="I1" s="143" t="s">
        <v>1451</v>
      </c>
      <c r="J1" s="241" t="s">
        <v>679</v>
      </c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144"/>
      <c r="V1" s="144"/>
      <c r="W1" s="144"/>
    </row>
    <row r="2" spans="1:23" ht="15" x14ac:dyDescent="0.4">
      <c r="A2" s="210" t="s">
        <v>680</v>
      </c>
      <c r="B2" s="145" t="s">
        <v>19</v>
      </c>
      <c r="C2" s="191" t="s">
        <v>681</v>
      </c>
      <c r="D2" s="192" t="s">
        <v>242</v>
      </c>
      <c r="E2" s="146"/>
      <c r="F2" s="147" t="s">
        <v>145</v>
      </c>
      <c r="G2" s="196" t="s">
        <v>681</v>
      </c>
      <c r="H2" s="197" t="s">
        <v>242</v>
      </c>
      <c r="I2" s="148"/>
      <c r="J2" s="149" t="s">
        <v>145</v>
      </c>
      <c r="K2" s="150">
        <v>42491</v>
      </c>
      <c r="L2" s="150">
        <v>42502</v>
      </c>
      <c r="M2" s="150">
        <v>42493</v>
      </c>
      <c r="N2" s="150">
        <v>42494</v>
      </c>
      <c r="O2" s="150">
        <v>42495</v>
      </c>
      <c r="P2" s="150">
        <v>42496</v>
      </c>
      <c r="Q2" s="150">
        <v>42497</v>
      </c>
      <c r="R2" s="150">
        <v>42498</v>
      </c>
      <c r="S2" s="150">
        <v>42499</v>
      </c>
      <c r="T2" s="150">
        <v>42500</v>
      </c>
      <c r="U2" s="128"/>
      <c r="V2" s="128"/>
      <c r="W2" s="128"/>
    </row>
    <row r="3" spans="1:23" ht="15" x14ac:dyDescent="0.4">
      <c r="A3" s="129">
        <v>212405</v>
      </c>
      <c r="B3" s="211">
        <v>42522</v>
      </c>
      <c r="C3" s="193" t="s">
        <v>682</v>
      </c>
      <c r="D3" s="194">
        <v>19668</v>
      </c>
      <c r="E3" s="146"/>
      <c r="F3" s="129">
        <v>212405</v>
      </c>
      <c r="G3" s="201" t="str">
        <f>VLOOKUP($F3,$A$2:$D$760,3,0)</f>
        <v>Dipankar Bhadra</v>
      </c>
      <c r="H3" s="201">
        <f>VLOOKUP($F3,$A$2:$D$760,4,0)</f>
        <v>19668</v>
      </c>
      <c r="I3" s="128"/>
      <c r="J3" s="129">
        <v>1006</v>
      </c>
      <c r="K3" s="151">
        <f>VLOOKUP($J3,$K$8:$V$22,MATCH(K$2,$K$8:$V$8,0),0)</f>
        <v>465</v>
      </c>
      <c r="L3" s="151" t="e">
        <f t="shared" ref="L3:T6" si="0">VLOOKUP($J3,$K$8:$V$22,MATCH(L$2,$K$8:$V$8,0),0)</f>
        <v>#N/A</v>
      </c>
      <c r="M3" s="151">
        <f t="shared" si="0"/>
        <v>326</v>
      </c>
      <c r="N3" s="151">
        <f t="shared" si="0"/>
        <v>524</v>
      </c>
      <c r="O3" s="151">
        <f t="shared" si="0"/>
        <v>214</v>
      </c>
      <c r="P3" s="151">
        <f t="shared" si="0"/>
        <v>105</v>
      </c>
      <c r="Q3" s="151">
        <f t="shared" si="0"/>
        <v>618</v>
      </c>
      <c r="R3" s="151">
        <f t="shared" si="0"/>
        <v>749</v>
      </c>
      <c r="S3" s="151">
        <f t="shared" si="0"/>
        <v>881</v>
      </c>
      <c r="T3" s="151">
        <f t="shared" si="0"/>
        <v>708</v>
      </c>
      <c r="U3" s="128"/>
      <c r="V3" s="128"/>
      <c r="W3" s="128"/>
    </row>
    <row r="4" spans="1:23" ht="15" x14ac:dyDescent="0.4">
      <c r="A4" s="129">
        <v>217894</v>
      </c>
      <c r="B4" s="211">
        <v>42522</v>
      </c>
      <c r="C4" s="193" t="s">
        <v>683</v>
      </c>
      <c r="D4" s="194">
        <v>23495</v>
      </c>
      <c r="E4" s="146"/>
      <c r="F4" s="129">
        <v>217894</v>
      </c>
      <c r="G4" s="201" t="str">
        <f t="shared" ref="G4:G18" si="1">VLOOKUP($F4,$A$2:$D$760,3,0)</f>
        <v>Sonali Dhar</v>
      </c>
      <c r="H4" s="201">
        <f t="shared" ref="H4:H18" si="2">VLOOKUP($F4,$A$2:$D$760,4,0)</f>
        <v>23495</v>
      </c>
      <c r="I4" s="128"/>
      <c r="J4" s="152">
        <v>1008</v>
      </c>
      <c r="K4" s="151">
        <f t="shared" ref="K4:K6" si="3">VLOOKUP($J4,$K$8:$V$22,MATCH(K$2,$K$8:$V$8,0),0)</f>
        <v>447</v>
      </c>
      <c r="L4" s="151" t="e">
        <f t="shared" si="0"/>
        <v>#N/A</v>
      </c>
      <c r="M4" s="151">
        <f t="shared" si="0"/>
        <v>963</v>
      </c>
      <c r="N4" s="151">
        <f t="shared" si="0"/>
        <v>516</v>
      </c>
      <c r="O4" s="151">
        <f t="shared" si="0"/>
        <v>634</v>
      </c>
      <c r="P4" s="151">
        <f t="shared" si="0"/>
        <v>968</v>
      </c>
      <c r="Q4" s="151">
        <f t="shared" si="0"/>
        <v>824</v>
      </c>
      <c r="R4" s="151">
        <f t="shared" si="0"/>
        <v>225</v>
      </c>
      <c r="S4" s="151">
        <f t="shared" si="0"/>
        <v>720</v>
      </c>
      <c r="T4" s="151">
        <f t="shared" si="0"/>
        <v>866</v>
      </c>
      <c r="U4" s="128"/>
      <c r="V4" s="128"/>
      <c r="W4" s="128"/>
    </row>
    <row r="5" spans="1:23" ht="15" x14ac:dyDescent="0.4">
      <c r="A5" s="129">
        <v>221089</v>
      </c>
      <c r="B5" s="211">
        <v>42522</v>
      </c>
      <c r="C5" s="193" t="s">
        <v>684</v>
      </c>
      <c r="D5" s="194">
        <v>11984</v>
      </c>
      <c r="E5" s="146"/>
      <c r="F5" s="129">
        <v>221089</v>
      </c>
      <c r="G5" s="201" t="str">
        <f t="shared" si="1"/>
        <v>Milan Chettri</v>
      </c>
      <c r="H5" s="201">
        <f t="shared" si="2"/>
        <v>11984</v>
      </c>
      <c r="I5" s="128"/>
      <c r="J5" s="129">
        <v>1009</v>
      </c>
      <c r="K5" s="151">
        <f t="shared" si="3"/>
        <v>684</v>
      </c>
      <c r="L5" s="151" t="e">
        <f t="shared" si="0"/>
        <v>#N/A</v>
      </c>
      <c r="M5" s="151">
        <f t="shared" si="0"/>
        <v>588</v>
      </c>
      <c r="N5" s="151">
        <f t="shared" si="0"/>
        <v>799</v>
      </c>
      <c r="O5" s="151">
        <f t="shared" si="0"/>
        <v>860</v>
      </c>
      <c r="P5" s="151">
        <f t="shared" si="0"/>
        <v>859</v>
      </c>
      <c r="Q5" s="151">
        <f t="shared" si="0"/>
        <v>687</v>
      </c>
      <c r="R5" s="151">
        <f t="shared" si="0"/>
        <v>697</v>
      </c>
      <c r="S5" s="151">
        <f t="shared" si="0"/>
        <v>794</v>
      </c>
      <c r="T5" s="151">
        <f t="shared" si="0"/>
        <v>426</v>
      </c>
      <c r="U5" s="128"/>
      <c r="V5" s="128"/>
      <c r="W5" s="128"/>
    </row>
    <row r="6" spans="1:23" ht="15" x14ac:dyDescent="0.4">
      <c r="A6" s="129">
        <v>513687</v>
      </c>
      <c r="B6" s="211">
        <v>42522</v>
      </c>
      <c r="C6" s="193" t="s">
        <v>685</v>
      </c>
      <c r="D6" s="194">
        <v>91123</v>
      </c>
      <c r="E6" s="146"/>
      <c r="F6" s="129">
        <v>513687</v>
      </c>
      <c r="G6" s="201" t="str">
        <f t="shared" si="1"/>
        <v>Debojit Roy</v>
      </c>
      <c r="H6" s="201">
        <f t="shared" si="2"/>
        <v>91123</v>
      </c>
      <c r="I6" s="128"/>
      <c r="J6" s="129">
        <v>1011</v>
      </c>
      <c r="K6" s="151">
        <f t="shared" si="3"/>
        <v>525</v>
      </c>
      <c r="L6" s="151" t="e">
        <f t="shared" si="0"/>
        <v>#N/A</v>
      </c>
      <c r="M6" s="151">
        <f t="shared" si="0"/>
        <v>273</v>
      </c>
      <c r="N6" s="151">
        <f t="shared" si="0"/>
        <v>863</v>
      </c>
      <c r="O6" s="151">
        <f t="shared" si="0"/>
        <v>247</v>
      </c>
      <c r="P6" s="151">
        <f t="shared" si="0"/>
        <v>590</v>
      </c>
      <c r="Q6" s="151">
        <f t="shared" si="0"/>
        <v>897</v>
      </c>
      <c r="R6" s="151">
        <f t="shared" si="0"/>
        <v>187</v>
      </c>
      <c r="S6" s="151">
        <f t="shared" si="0"/>
        <v>139</v>
      </c>
      <c r="T6" s="151">
        <f t="shared" si="0"/>
        <v>644</v>
      </c>
      <c r="U6" s="128"/>
      <c r="V6" s="128"/>
      <c r="W6" s="128"/>
    </row>
    <row r="7" spans="1:23" ht="15" x14ac:dyDescent="0.4">
      <c r="A7" s="129">
        <v>514314</v>
      </c>
      <c r="B7" s="211">
        <v>42522</v>
      </c>
      <c r="C7" s="193" t="s">
        <v>686</v>
      </c>
      <c r="D7" s="194">
        <v>41594</v>
      </c>
      <c r="E7" s="146"/>
      <c r="F7" s="129">
        <v>514314</v>
      </c>
      <c r="G7" s="201" t="str">
        <f t="shared" si="1"/>
        <v>Soumi  Roy</v>
      </c>
      <c r="H7" s="201">
        <f t="shared" si="2"/>
        <v>41594</v>
      </c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</row>
    <row r="8" spans="1:23" ht="15" x14ac:dyDescent="0.4">
      <c r="A8" s="129">
        <v>514691</v>
      </c>
      <c r="B8" s="211">
        <v>42522</v>
      </c>
      <c r="C8" s="193" t="s">
        <v>687</v>
      </c>
      <c r="D8" s="194">
        <v>39408</v>
      </c>
      <c r="E8" s="146"/>
      <c r="F8" s="129">
        <v>514691</v>
      </c>
      <c r="G8" s="201" t="str">
        <f t="shared" si="1"/>
        <v>Rajiv Prasad</v>
      </c>
      <c r="H8" s="201">
        <f t="shared" si="2"/>
        <v>39408</v>
      </c>
      <c r="I8" s="128"/>
      <c r="J8" s="149" t="s">
        <v>688</v>
      </c>
      <c r="K8" s="149" t="s">
        <v>689</v>
      </c>
      <c r="L8" s="149" t="s">
        <v>690</v>
      </c>
      <c r="M8" s="150">
        <v>42491</v>
      </c>
      <c r="N8" s="150">
        <f>M8+1</f>
        <v>42492</v>
      </c>
      <c r="O8" s="150">
        <f t="shared" ref="O8:V8" si="4">N8+1</f>
        <v>42493</v>
      </c>
      <c r="P8" s="150">
        <f t="shared" si="4"/>
        <v>42494</v>
      </c>
      <c r="Q8" s="150">
        <f t="shared" si="4"/>
        <v>42495</v>
      </c>
      <c r="R8" s="150">
        <f t="shared" si="4"/>
        <v>42496</v>
      </c>
      <c r="S8" s="150">
        <f t="shared" si="4"/>
        <v>42497</v>
      </c>
      <c r="T8" s="150">
        <f t="shared" si="4"/>
        <v>42498</v>
      </c>
      <c r="U8" s="150">
        <f t="shared" si="4"/>
        <v>42499</v>
      </c>
      <c r="V8" s="150">
        <f t="shared" si="4"/>
        <v>42500</v>
      </c>
      <c r="W8" s="128"/>
    </row>
    <row r="9" spans="1:23" ht="15" x14ac:dyDescent="0.4">
      <c r="A9" s="129">
        <v>514763</v>
      </c>
      <c r="B9" s="211">
        <v>42522</v>
      </c>
      <c r="C9" s="193" t="s">
        <v>691</v>
      </c>
      <c r="D9" s="194">
        <v>65825</v>
      </c>
      <c r="E9" s="146"/>
      <c r="F9" s="129">
        <v>514763</v>
      </c>
      <c r="G9" s="201" t="str">
        <f t="shared" si="1"/>
        <v>Arnab Gangopadhyay</v>
      </c>
      <c r="H9" s="201">
        <f t="shared" si="2"/>
        <v>65825</v>
      </c>
      <c r="I9" s="128"/>
      <c r="J9" s="129" t="s">
        <v>692</v>
      </c>
      <c r="K9" s="129">
        <v>1018</v>
      </c>
      <c r="L9" s="129" t="s">
        <v>693</v>
      </c>
      <c r="M9" s="153">
        <v>284</v>
      </c>
      <c r="N9" s="153">
        <v>483</v>
      </c>
      <c r="O9" s="153">
        <v>206</v>
      </c>
      <c r="P9" s="153">
        <v>571</v>
      </c>
      <c r="Q9" s="153">
        <v>303</v>
      </c>
      <c r="R9" s="153">
        <v>761</v>
      </c>
      <c r="S9" s="153">
        <v>341</v>
      </c>
      <c r="T9" s="153">
        <v>106</v>
      </c>
      <c r="U9" s="153">
        <v>713</v>
      </c>
      <c r="V9" s="153">
        <v>204</v>
      </c>
      <c r="W9" s="128"/>
    </row>
    <row r="10" spans="1:23" ht="15" x14ac:dyDescent="0.4">
      <c r="A10" s="129">
        <v>515520</v>
      </c>
      <c r="B10" s="211">
        <v>42522</v>
      </c>
      <c r="C10" s="193" t="s">
        <v>694</v>
      </c>
      <c r="D10" s="194">
        <v>74869</v>
      </c>
      <c r="E10" s="146"/>
      <c r="F10" s="129">
        <v>515520</v>
      </c>
      <c r="G10" s="201" t="str">
        <f t="shared" si="1"/>
        <v>Ananda Dhara</v>
      </c>
      <c r="H10" s="201">
        <f t="shared" si="2"/>
        <v>74869</v>
      </c>
      <c r="I10" s="128"/>
      <c r="J10" s="129" t="s">
        <v>695</v>
      </c>
      <c r="K10" s="129">
        <v>1003</v>
      </c>
      <c r="L10" s="129" t="s">
        <v>696</v>
      </c>
      <c r="M10" s="153">
        <v>386</v>
      </c>
      <c r="N10" s="153">
        <v>247</v>
      </c>
      <c r="O10" s="153">
        <v>344</v>
      </c>
      <c r="P10" s="153">
        <v>988</v>
      </c>
      <c r="Q10" s="153">
        <v>273</v>
      </c>
      <c r="R10" s="153">
        <v>577</v>
      </c>
      <c r="S10" s="153">
        <v>828</v>
      </c>
      <c r="T10" s="153">
        <v>336</v>
      </c>
      <c r="U10" s="153">
        <v>974</v>
      </c>
      <c r="V10" s="153">
        <v>138</v>
      </c>
      <c r="W10" s="128"/>
    </row>
    <row r="11" spans="1:23" ht="15" x14ac:dyDescent="0.4">
      <c r="A11" s="129">
        <v>516259</v>
      </c>
      <c r="B11" s="211">
        <v>42522</v>
      </c>
      <c r="C11" s="193" t="s">
        <v>697</v>
      </c>
      <c r="D11" s="194">
        <v>58147</v>
      </c>
      <c r="E11" s="146"/>
      <c r="F11" s="129">
        <v>516259</v>
      </c>
      <c r="G11" s="201" t="str">
        <f t="shared" si="1"/>
        <v>Prosenjit Das</v>
      </c>
      <c r="H11" s="201">
        <f t="shared" si="2"/>
        <v>58147</v>
      </c>
      <c r="I11" s="128"/>
      <c r="J11" s="129" t="s">
        <v>698</v>
      </c>
      <c r="K11" s="129">
        <v>1004</v>
      </c>
      <c r="L11" s="129" t="s">
        <v>693</v>
      </c>
      <c r="M11" s="153">
        <v>852</v>
      </c>
      <c r="N11" s="153">
        <v>119</v>
      </c>
      <c r="O11" s="153">
        <v>973</v>
      </c>
      <c r="P11" s="153">
        <v>237</v>
      </c>
      <c r="Q11" s="153">
        <v>452</v>
      </c>
      <c r="R11" s="153">
        <v>465</v>
      </c>
      <c r="S11" s="153">
        <v>373</v>
      </c>
      <c r="T11" s="153">
        <v>914</v>
      </c>
      <c r="U11" s="153">
        <v>940</v>
      </c>
      <c r="V11" s="153">
        <v>269</v>
      </c>
      <c r="W11" s="128"/>
    </row>
    <row r="12" spans="1:23" ht="15" x14ac:dyDescent="0.4">
      <c r="A12" s="129">
        <v>516261</v>
      </c>
      <c r="B12" s="211">
        <v>42522</v>
      </c>
      <c r="C12" s="193" t="s">
        <v>699</v>
      </c>
      <c r="D12" s="194">
        <v>85609</v>
      </c>
      <c r="E12" s="146"/>
      <c r="F12" s="129">
        <v>516261</v>
      </c>
      <c r="G12" s="201" t="str">
        <f t="shared" si="1"/>
        <v>Avijit Das</v>
      </c>
      <c r="H12" s="201">
        <f t="shared" si="2"/>
        <v>85609</v>
      </c>
      <c r="I12" s="128"/>
      <c r="J12" s="129" t="s">
        <v>700</v>
      </c>
      <c r="K12" s="152">
        <v>1008</v>
      </c>
      <c r="L12" s="129" t="s">
        <v>701</v>
      </c>
      <c r="M12" s="153">
        <v>447</v>
      </c>
      <c r="N12" s="153">
        <v>887</v>
      </c>
      <c r="O12" s="153">
        <v>963</v>
      </c>
      <c r="P12" s="153">
        <v>516</v>
      </c>
      <c r="Q12" s="153">
        <v>634</v>
      </c>
      <c r="R12" s="153">
        <v>968</v>
      </c>
      <c r="S12" s="153">
        <v>824</v>
      </c>
      <c r="T12" s="153">
        <v>225</v>
      </c>
      <c r="U12" s="153">
        <v>720</v>
      </c>
      <c r="V12" s="153">
        <v>866</v>
      </c>
      <c r="W12" s="128"/>
    </row>
    <row r="13" spans="1:23" ht="15" x14ac:dyDescent="0.4">
      <c r="A13" s="129">
        <v>516268</v>
      </c>
      <c r="B13" s="211">
        <v>42522</v>
      </c>
      <c r="C13" s="193" t="s">
        <v>702</v>
      </c>
      <c r="D13" s="194">
        <v>97185</v>
      </c>
      <c r="E13" s="146"/>
      <c r="F13" s="129">
        <v>516268</v>
      </c>
      <c r="G13" s="201" t="str">
        <f t="shared" si="1"/>
        <v>Supriya Mukhopadhyay</v>
      </c>
      <c r="H13" s="201">
        <f t="shared" si="2"/>
        <v>97185</v>
      </c>
      <c r="I13" s="128"/>
      <c r="J13" s="129" t="s">
        <v>703</v>
      </c>
      <c r="K13" s="129">
        <v>1006</v>
      </c>
      <c r="L13" s="129" t="s">
        <v>693</v>
      </c>
      <c r="M13" s="153">
        <v>465</v>
      </c>
      <c r="N13" s="153">
        <v>577</v>
      </c>
      <c r="O13" s="153">
        <v>326</v>
      </c>
      <c r="P13" s="153">
        <v>524</v>
      </c>
      <c r="Q13" s="153">
        <v>214</v>
      </c>
      <c r="R13" s="153">
        <v>105</v>
      </c>
      <c r="S13" s="153">
        <v>618</v>
      </c>
      <c r="T13" s="153">
        <v>749</v>
      </c>
      <c r="U13" s="153">
        <v>881</v>
      </c>
      <c r="V13" s="153">
        <v>708</v>
      </c>
      <c r="W13" s="128"/>
    </row>
    <row r="14" spans="1:23" ht="15" x14ac:dyDescent="0.4">
      <c r="A14" s="129">
        <v>518569</v>
      </c>
      <c r="B14" s="211">
        <v>42522</v>
      </c>
      <c r="C14" s="193" t="s">
        <v>704</v>
      </c>
      <c r="D14" s="194">
        <v>52655</v>
      </c>
      <c r="E14" s="146"/>
      <c r="F14" s="129">
        <v>518569</v>
      </c>
      <c r="G14" s="201" t="str">
        <f t="shared" si="1"/>
        <v>Piyali Ghosh</v>
      </c>
      <c r="H14" s="201">
        <f t="shared" si="2"/>
        <v>52655</v>
      </c>
      <c r="I14" s="128"/>
      <c r="J14" s="129" t="s">
        <v>705</v>
      </c>
      <c r="K14" s="152">
        <v>1008</v>
      </c>
      <c r="L14" s="129" t="s">
        <v>693</v>
      </c>
      <c r="M14" s="153">
        <v>845</v>
      </c>
      <c r="N14" s="153">
        <v>294</v>
      </c>
      <c r="O14" s="153">
        <v>740</v>
      </c>
      <c r="P14" s="153">
        <v>399</v>
      </c>
      <c r="Q14" s="153">
        <v>376</v>
      </c>
      <c r="R14" s="153">
        <v>180</v>
      </c>
      <c r="S14" s="153">
        <v>168</v>
      </c>
      <c r="T14" s="153">
        <v>531</v>
      </c>
      <c r="U14" s="153">
        <v>925</v>
      </c>
      <c r="V14" s="153">
        <v>773</v>
      </c>
      <c r="W14" s="128"/>
    </row>
    <row r="15" spans="1:23" ht="15" x14ac:dyDescent="0.4">
      <c r="A15" s="129">
        <v>519033</v>
      </c>
      <c r="B15" s="211">
        <v>42522</v>
      </c>
      <c r="C15" s="193" t="s">
        <v>706</v>
      </c>
      <c r="D15" s="194">
        <v>58819</v>
      </c>
      <c r="E15" s="146"/>
      <c r="F15" s="129">
        <v>519033</v>
      </c>
      <c r="G15" s="201" t="str">
        <f t="shared" si="1"/>
        <v>Aihick Pal</v>
      </c>
      <c r="H15" s="201">
        <f t="shared" si="2"/>
        <v>58819</v>
      </c>
      <c r="I15" s="128"/>
      <c r="J15" s="129" t="s">
        <v>707</v>
      </c>
      <c r="K15" s="129">
        <v>1009</v>
      </c>
      <c r="L15" s="129" t="s">
        <v>708</v>
      </c>
      <c r="M15" s="153">
        <v>684</v>
      </c>
      <c r="N15" s="153">
        <v>638</v>
      </c>
      <c r="O15" s="153">
        <v>588</v>
      </c>
      <c r="P15" s="153">
        <v>799</v>
      </c>
      <c r="Q15" s="153">
        <v>860</v>
      </c>
      <c r="R15" s="153">
        <v>859</v>
      </c>
      <c r="S15" s="153">
        <v>687</v>
      </c>
      <c r="T15" s="153">
        <v>697</v>
      </c>
      <c r="U15" s="153">
        <v>794</v>
      </c>
      <c r="V15" s="153">
        <v>426</v>
      </c>
      <c r="W15" s="128"/>
    </row>
    <row r="16" spans="1:23" ht="15" x14ac:dyDescent="0.4">
      <c r="A16" s="129">
        <v>519145</v>
      </c>
      <c r="B16" s="211">
        <v>42522</v>
      </c>
      <c r="C16" s="193" t="s">
        <v>709</v>
      </c>
      <c r="D16" s="194">
        <v>69479</v>
      </c>
      <c r="E16" s="146"/>
      <c r="F16" s="129">
        <v>530059</v>
      </c>
      <c r="G16" s="201" t="str">
        <f t="shared" si="1"/>
        <v>Tapas Sarkar</v>
      </c>
      <c r="H16" s="201">
        <f t="shared" si="2"/>
        <v>28344</v>
      </c>
      <c r="I16" s="128"/>
      <c r="J16" s="129" t="s">
        <v>710</v>
      </c>
      <c r="K16" s="129">
        <v>1011</v>
      </c>
      <c r="L16" s="129" t="s">
        <v>693</v>
      </c>
      <c r="M16" s="153">
        <v>525</v>
      </c>
      <c r="N16" s="153">
        <v>321</v>
      </c>
      <c r="O16" s="153">
        <v>273</v>
      </c>
      <c r="P16" s="153">
        <v>863</v>
      </c>
      <c r="Q16" s="153">
        <v>247</v>
      </c>
      <c r="R16" s="153">
        <v>590</v>
      </c>
      <c r="S16" s="153">
        <v>897</v>
      </c>
      <c r="T16" s="153">
        <v>187</v>
      </c>
      <c r="U16" s="153">
        <v>139</v>
      </c>
      <c r="V16" s="153">
        <v>644</v>
      </c>
      <c r="W16" s="128"/>
    </row>
    <row r="17" spans="1:23" ht="15" x14ac:dyDescent="0.4">
      <c r="A17" s="129">
        <v>519966</v>
      </c>
      <c r="B17" s="211">
        <v>42522</v>
      </c>
      <c r="C17" s="193" t="s">
        <v>711</v>
      </c>
      <c r="D17" s="194">
        <v>79264</v>
      </c>
      <c r="E17" s="146"/>
      <c r="F17" s="129">
        <v>530064</v>
      </c>
      <c r="G17" s="201" t="str">
        <f t="shared" si="1"/>
        <v>Subhankar Bhowmick</v>
      </c>
      <c r="H17" s="201">
        <f t="shared" si="2"/>
        <v>77240</v>
      </c>
      <c r="I17" s="128"/>
      <c r="J17" s="129" t="s">
        <v>712</v>
      </c>
      <c r="K17" s="129">
        <v>1012</v>
      </c>
      <c r="L17" s="129" t="s">
        <v>693</v>
      </c>
      <c r="M17" s="153">
        <v>580</v>
      </c>
      <c r="N17" s="153">
        <v>345</v>
      </c>
      <c r="O17" s="153">
        <v>519</v>
      </c>
      <c r="P17" s="153">
        <v>399</v>
      </c>
      <c r="Q17" s="153">
        <v>812</v>
      </c>
      <c r="R17" s="153">
        <v>940</v>
      </c>
      <c r="S17" s="153">
        <v>305</v>
      </c>
      <c r="T17" s="153">
        <v>392</v>
      </c>
      <c r="U17" s="153">
        <v>163</v>
      </c>
      <c r="V17" s="153">
        <v>221</v>
      </c>
      <c r="W17" s="128"/>
    </row>
    <row r="18" spans="1:23" ht="15" x14ac:dyDescent="0.4">
      <c r="A18" s="129">
        <v>530059</v>
      </c>
      <c r="B18" s="211">
        <v>42522</v>
      </c>
      <c r="C18" s="193" t="s">
        <v>713</v>
      </c>
      <c r="D18" s="194">
        <v>28344</v>
      </c>
      <c r="E18" s="146"/>
      <c r="F18" s="129">
        <v>519145</v>
      </c>
      <c r="G18" s="201" t="str">
        <f t="shared" si="1"/>
        <v>Deepak Kumar Gupta</v>
      </c>
      <c r="H18" s="201">
        <f t="shared" si="2"/>
        <v>69479</v>
      </c>
      <c r="I18" s="128"/>
      <c r="J18" s="129" t="s">
        <v>714</v>
      </c>
      <c r="K18" s="152">
        <v>1008</v>
      </c>
      <c r="L18" s="129" t="s">
        <v>715</v>
      </c>
      <c r="M18" s="153">
        <v>641</v>
      </c>
      <c r="N18" s="153">
        <v>352</v>
      </c>
      <c r="O18" s="153">
        <v>614</v>
      </c>
      <c r="P18" s="153">
        <v>935</v>
      </c>
      <c r="Q18" s="153">
        <v>248</v>
      </c>
      <c r="R18" s="153">
        <v>176</v>
      </c>
      <c r="S18" s="153">
        <v>628</v>
      </c>
      <c r="T18" s="153">
        <v>370</v>
      </c>
      <c r="U18" s="153">
        <v>724</v>
      </c>
      <c r="V18" s="153">
        <v>788</v>
      </c>
      <c r="W18" s="128"/>
    </row>
    <row r="19" spans="1:23" ht="15" x14ac:dyDescent="0.4">
      <c r="A19" s="129">
        <v>530064</v>
      </c>
      <c r="B19" s="211">
        <v>42522</v>
      </c>
      <c r="C19" s="193" t="s">
        <v>716</v>
      </c>
      <c r="D19" s="194">
        <v>77240</v>
      </c>
      <c r="E19" s="146"/>
      <c r="F19" s="154"/>
      <c r="G19" s="199"/>
      <c r="H19" s="198"/>
      <c r="I19" s="128"/>
      <c r="J19" s="129" t="s">
        <v>717</v>
      </c>
      <c r="K19" s="129">
        <v>1015</v>
      </c>
      <c r="L19" s="129" t="s">
        <v>718</v>
      </c>
      <c r="M19" s="153">
        <v>695</v>
      </c>
      <c r="N19" s="153">
        <v>716</v>
      </c>
      <c r="O19" s="153">
        <v>152</v>
      </c>
      <c r="P19" s="153">
        <v>643</v>
      </c>
      <c r="Q19" s="153">
        <v>180</v>
      </c>
      <c r="R19" s="153">
        <v>107</v>
      </c>
      <c r="S19" s="153">
        <v>733</v>
      </c>
      <c r="T19" s="153">
        <v>108</v>
      </c>
      <c r="U19" s="153">
        <v>248</v>
      </c>
      <c r="V19" s="153">
        <v>134</v>
      </c>
      <c r="W19" s="128"/>
    </row>
    <row r="20" spans="1:23" ht="15" x14ac:dyDescent="0.4">
      <c r="A20" s="129">
        <v>530286</v>
      </c>
      <c r="B20" s="211">
        <v>42522</v>
      </c>
      <c r="C20" s="193" t="s">
        <v>719</v>
      </c>
      <c r="D20" s="194">
        <v>65222</v>
      </c>
      <c r="E20" s="146"/>
      <c r="F20" s="146"/>
      <c r="G20" s="198"/>
      <c r="H20" s="198"/>
      <c r="I20" s="128"/>
      <c r="J20" s="129" t="s">
        <v>720</v>
      </c>
      <c r="K20" s="152">
        <v>1008</v>
      </c>
      <c r="L20" s="129" t="s">
        <v>721</v>
      </c>
      <c r="M20" s="153">
        <v>972</v>
      </c>
      <c r="N20" s="153">
        <v>568</v>
      </c>
      <c r="O20" s="153">
        <v>443</v>
      </c>
      <c r="P20" s="153">
        <v>321</v>
      </c>
      <c r="Q20" s="153">
        <v>882</v>
      </c>
      <c r="R20" s="153">
        <v>177</v>
      </c>
      <c r="S20" s="153">
        <v>114</v>
      </c>
      <c r="T20" s="153">
        <v>410</v>
      </c>
      <c r="U20" s="153">
        <v>880</v>
      </c>
      <c r="V20" s="153">
        <v>693</v>
      </c>
      <c r="W20" s="128"/>
    </row>
    <row r="21" spans="1:23" ht="15" x14ac:dyDescent="0.4">
      <c r="A21" s="129">
        <v>530795</v>
      </c>
      <c r="B21" s="211">
        <v>42522</v>
      </c>
      <c r="C21" s="193" t="s">
        <v>722</v>
      </c>
      <c r="D21" s="194">
        <v>19407</v>
      </c>
      <c r="E21" s="146"/>
      <c r="F21" s="146"/>
      <c r="G21" s="198"/>
      <c r="H21" s="198"/>
      <c r="I21" s="128"/>
      <c r="J21" s="129" t="s">
        <v>723</v>
      </c>
      <c r="K21" s="129">
        <v>1018</v>
      </c>
      <c r="L21" s="129" t="s">
        <v>718</v>
      </c>
      <c r="M21" s="153">
        <v>515</v>
      </c>
      <c r="N21" s="153">
        <v>791</v>
      </c>
      <c r="O21" s="153">
        <v>489</v>
      </c>
      <c r="P21" s="153">
        <v>281</v>
      </c>
      <c r="Q21" s="153">
        <v>343</v>
      </c>
      <c r="R21" s="153">
        <v>321</v>
      </c>
      <c r="S21" s="153">
        <v>179</v>
      </c>
      <c r="T21" s="153">
        <v>541</v>
      </c>
      <c r="U21" s="153">
        <v>930</v>
      </c>
      <c r="V21" s="153">
        <v>239</v>
      </c>
      <c r="W21" s="128"/>
    </row>
    <row r="22" spans="1:23" ht="15" x14ac:dyDescent="0.4">
      <c r="A22" s="129">
        <v>530798</v>
      </c>
      <c r="B22" s="211">
        <v>42522</v>
      </c>
      <c r="C22" s="193" t="s">
        <v>724</v>
      </c>
      <c r="D22" s="194">
        <v>77857</v>
      </c>
      <c r="E22" s="146"/>
      <c r="F22" s="146"/>
      <c r="G22" s="198"/>
      <c r="H22" s="198"/>
      <c r="I22" s="128"/>
      <c r="J22" s="129" t="s">
        <v>725</v>
      </c>
      <c r="K22" s="129">
        <v>1019</v>
      </c>
      <c r="L22" s="129" t="s">
        <v>693</v>
      </c>
      <c r="M22" s="153">
        <v>553</v>
      </c>
      <c r="N22" s="153">
        <v>480</v>
      </c>
      <c r="O22" s="153">
        <v>212</v>
      </c>
      <c r="P22" s="153">
        <v>251</v>
      </c>
      <c r="Q22" s="153">
        <v>935</v>
      </c>
      <c r="R22" s="153">
        <v>148</v>
      </c>
      <c r="S22" s="153">
        <v>672</v>
      </c>
      <c r="T22" s="153">
        <v>982</v>
      </c>
      <c r="U22" s="153">
        <v>733</v>
      </c>
      <c r="V22" s="153">
        <v>859</v>
      </c>
      <c r="W22" s="128"/>
    </row>
    <row r="23" spans="1:23" ht="15" x14ac:dyDescent="0.4">
      <c r="A23" s="129">
        <v>530886</v>
      </c>
      <c r="B23" s="211">
        <v>42522</v>
      </c>
      <c r="C23" s="193" t="s">
        <v>726</v>
      </c>
      <c r="D23" s="194">
        <v>48534</v>
      </c>
      <c r="E23" s="146"/>
      <c r="F23" s="146"/>
      <c r="G23" s="198"/>
      <c r="H23" s="19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</row>
    <row r="24" spans="1:23" ht="15" x14ac:dyDescent="0.4">
      <c r="A24" s="129">
        <v>531519</v>
      </c>
      <c r="B24" s="211">
        <v>42522</v>
      </c>
      <c r="C24" s="193" t="s">
        <v>727</v>
      </c>
      <c r="D24" s="194">
        <v>23261</v>
      </c>
      <c r="E24" s="146"/>
      <c r="F24" s="146"/>
      <c r="G24" s="198"/>
      <c r="H24" s="19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</row>
    <row r="25" spans="1:23" ht="15" x14ac:dyDescent="0.4">
      <c r="A25" s="129">
        <v>213912</v>
      </c>
      <c r="B25" s="211">
        <v>42523</v>
      </c>
      <c r="C25" s="193" t="s">
        <v>728</v>
      </c>
      <c r="D25" s="194">
        <v>85377</v>
      </c>
      <c r="E25" s="146"/>
      <c r="F25" s="146"/>
      <c r="G25" s="198"/>
      <c r="H25" s="19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</row>
    <row r="26" spans="1:23" ht="15" x14ac:dyDescent="0.4">
      <c r="A26" s="129">
        <v>213925</v>
      </c>
      <c r="B26" s="211">
        <v>42523</v>
      </c>
      <c r="C26" s="193" t="s">
        <v>729</v>
      </c>
      <c r="D26" s="194">
        <v>33032</v>
      </c>
      <c r="E26" s="146"/>
      <c r="F26" s="146"/>
      <c r="G26" s="198"/>
      <c r="H26" s="19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</row>
    <row r="27" spans="1:23" ht="15" x14ac:dyDescent="0.4">
      <c r="A27" s="129">
        <v>214438</v>
      </c>
      <c r="B27" s="211">
        <v>42523</v>
      </c>
      <c r="C27" s="193" t="s">
        <v>730</v>
      </c>
      <c r="D27" s="194">
        <v>79814</v>
      </c>
      <c r="E27" s="146"/>
      <c r="F27" s="146"/>
      <c r="G27" s="198"/>
      <c r="H27" s="19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</row>
    <row r="28" spans="1:23" ht="15" x14ac:dyDescent="0.4">
      <c r="A28" s="129">
        <v>218125</v>
      </c>
      <c r="B28" s="211">
        <v>42523</v>
      </c>
      <c r="C28" s="193" t="s">
        <v>731</v>
      </c>
      <c r="D28" s="194">
        <v>81876</v>
      </c>
      <c r="E28" s="146"/>
      <c r="F28" s="146"/>
      <c r="G28" s="198"/>
      <c r="H28" s="19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</row>
    <row r="29" spans="1:23" ht="15" x14ac:dyDescent="0.4">
      <c r="A29" s="129">
        <v>218873</v>
      </c>
      <c r="B29" s="211">
        <v>42523</v>
      </c>
      <c r="C29" s="193" t="s">
        <v>732</v>
      </c>
      <c r="D29" s="194">
        <v>61180</v>
      </c>
      <c r="E29" s="146"/>
      <c r="F29" s="146"/>
      <c r="G29" s="198"/>
      <c r="H29" s="19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</row>
    <row r="30" spans="1:23" ht="15" x14ac:dyDescent="0.4">
      <c r="A30" s="129">
        <v>220711</v>
      </c>
      <c r="B30" s="211">
        <v>42523</v>
      </c>
      <c r="C30" s="193" t="s">
        <v>733</v>
      </c>
      <c r="D30" s="194">
        <v>75982</v>
      </c>
      <c r="E30" s="146"/>
      <c r="F30" s="146"/>
      <c r="G30" s="198"/>
      <c r="H30" s="19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</row>
    <row r="31" spans="1:23" ht="15" x14ac:dyDescent="0.4">
      <c r="A31" s="129">
        <v>221111</v>
      </c>
      <c r="B31" s="211">
        <v>42523</v>
      </c>
      <c r="C31" s="193" t="s">
        <v>734</v>
      </c>
      <c r="D31" s="194">
        <v>89012</v>
      </c>
      <c r="E31" s="146"/>
      <c r="F31" s="146"/>
      <c r="G31" s="198"/>
      <c r="H31" s="19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</row>
    <row r="32" spans="1:23" ht="15" x14ac:dyDescent="0.4">
      <c r="A32" s="129">
        <v>512826</v>
      </c>
      <c r="B32" s="211">
        <v>42523</v>
      </c>
      <c r="C32" s="193" t="s">
        <v>735</v>
      </c>
      <c r="D32" s="194">
        <v>32513</v>
      </c>
      <c r="E32" s="146"/>
      <c r="F32" s="146"/>
      <c r="G32" s="198"/>
      <c r="H32" s="19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</row>
    <row r="33" spans="1:23" ht="15" x14ac:dyDescent="0.4">
      <c r="A33" s="129">
        <v>513425</v>
      </c>
      <c r="B33" s="211">
        <v>42523</v>
      </c>
      <c r="C33" s="193" t="s">
        <v>736</v>
      </c>
      <c r="D33" s="194">
        <v>29295</v>
      </c>
      <c r="E33" s="146"/>
      <c r="F33" s="146"/>
      <c r="G33" s="198"/>
      <c r="H33" s="19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</row>
    <row r="34" spans="1:23" ht="15" x14ac:dyDescent="0.4">
      <c r="A34" s="129">
        <v>514461</v>
      </c>
      <c r="B34" s="211">
        <v>42523</v>
      </c>
      <c r="C34" s="193" t="s">
        <v>737</v>
      </c>
      <c r="D34" s="194">
        <v>32586</v>
      </c>
      <c r="E34" s="146"/>
      <c r="F34" s="146"/>
      <c r="G34" s="198"/>
      <c r="H34" s="19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</row>
    <row r="35" spans="1:23" ht="15" x14ac:dyDescent="0.4">
      <c r="A35" s="129">
        <v>515244</v>
      </c>
      <c r="B35" s="211">
        <v>42523</v>
      </c>
      <c r="C35" s="193" t="s">
        <v>738</v>
      </c>
      <c r="D35" s="194">
        <v>19607</v>
      </c>
      <c r="E35" s="146"/>
      <c r="F35" s="146"/>
      <c r="G35" s="198"/>
      <c r="H35" s="19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</row>
    <row r="36" spans="1:23" ht="15" x14ac:dyDescent="0.4">
      <c r="A36" s="129">
        <v>515446</v>
      </c>
      <c r="B36" s="211">
        <v>42523</v>
      </c>
      <c r="C36" s="193" t="s">
        <v>739</v>
      </c>
      <c r="D36" s="194">
        <v>94797</v>
      </c>
      <c r="E36" s="146"/>
      <c r="F36" s="146"/>
      <c r="G36" s="198"/>
      <c r="H36" s="19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</row>
    <row r="37" spans="1:23" ht="15" x14ac:dyDescent="0.4">
      <c r="A37" s="129">
        <v>515954</v>
      </c>
      <c r="B37" s="211">
        <v>42523</v>
      </c>
      <c r="C37" s="193" t="s">
        <v>740</v>
      </c>
      <c r="D37" s="194">
        <v>84674</v>
      </c>
      <c r="E37" s="146"/>
      <c r="F37" s="146"/>
      <c r="G37" s="198"/>
      <c r="H37" s="19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</row>
    <row r="38" spans="1:23" ht="15" x14ac:dyDescent="0.4">
      <c r="A38" s="129">
        <v>515960</v>
      </c>
      <c r="B38" s="211">
        <v>42523</v>
      </c>
      <c r="C38" s="193" t="s">
        <v>741</v>
      </c>
      <c r="D38" s="194">
        <v>31054</v>
      </c>
      <c r="E38" s="146"/>
      <c r="F38" s="146"/>
      <c r="G38" s="198"/>
      <c r="H38" s="19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</row>
    <row r="39" spans="1:23" ht="15" x14ac:dyDescent="0.4">
      <c r="A39" s="129">
        <v>516250</v>
      </c>
      <c r="B39" s="211">
        <v>42523</v>
      </c>
      <c r="C39" s="193" t="s">
        <v>742</v>
      </c>
      <c r="D39" s="194">
        <v>86609</v>
      </c>
      <c r="E39" s="146"/>
      <c r="F39" s="146"/>
      <c r="G39" s="198"/>
      <c r="H39" s="19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</row>
    <row r="40" spans="1:23" ht="15" x14ac:dyDescent="0.4">
      <c r="A40" s="129">
        <v>516251</v>
      </c>
      <c r="B40" s="211">
        <v>42523</v>
      </c>
      <c r="C40" s="193" t="s">
        <v>743</v>
      </c>
      <c r="D40" s="194">
        <v>38273</v>
      </c>
      <c r="E40" s="146"/>
      <c r="F40" s="146"/>
      <c r="G40" s="198"/>
      <c r="H40" s="19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</row>
    <row r="41" spans="1:23" ht="15" x14ac:dyDescent="0.4">
      <c r="A41" s="129">
        <v>516262</v>
      </c>
      <c r="B41" s="211">
        <v>42523</v>
      </c>
      <c r="C41" s="193" t="s">
        <v>744</v>
      </c>
      <c r="D41" s="194">
        <v>60923</v>
      </c>
      <c r="E41" s="146"/>
      <c r="F41" s="146"/>
      <c r="G41" s="198"/>
      <c r="H41" s="19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</row>
    <row r="42" spans="1:23" ht="15" x14ac:dyDescent="0.4">
      <c r="A42" s="129">
        <v>517820</v>
      </c>
      <c r="B42" s="211">
        <v>42523</v>
      </c>
      <c r="C42" s="193" t="s">
        <v>745</v>
      </c>
      <c r="D42" s="194">
        <v>34012</v>
      </c>
      <c r="E42" s="146"/>
      <c r="F42" s="146"/>
      <c r="G42" s="198"/>
      <c r="H42" s="19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</row>
    <row r="43" spans="1:23" ht="15" x14ac:dyDescent="0.4">
      <c r="A43" s="129">
        <v>518149</v>
      </c>
      <c r="B43" s="211">
        <v>42523</v>
      </c>
      <c r="C43" s="193" t="s">
        <v>746</v>
      </c>
      <c r="D43" s="194">
        <v>18698</v>
      </c>
      <c r="E43" s="146"/>
      <c r="F43" s="146"/>
      <c r="G43" s="198"/>
      <c r="H43" s="19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</row>
    <row r="44" spans="1:23" ht="15" x14ac:dyDescent="0.4">
      <c r="A44" s="129">
        <v>518693</v>
      </c>
      <c r="B44" s="211">
        <v>42523</v>
      </c>
      <c r="C44" s="193" t="s">
        <v>747</v>
      </c>
      <c r="D44" s="194">
        <v>16769</v>
      </c>
      <c r="E44" s="146"/>
      <c r="F44" s="146"/>
      <c r="G44" s="198"/>
      <c r="H44" s="19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</row>
    <row r="45" spans="1:23" ht="15" x14ac:dyDescent="0.4">
      <c r="A45" s="129">
        <v>518911</v>
      </c>
      <c r="B45" s="211">
        <v>42523</v>
      </c>
      <c r="C45" s="193" t="s">
        <v>748</v>
      </c>
      <c r="D45" s="194">
        <v>92351</v>
      </c>
      <c r="E45" s="146"/>
      <c r="F45" s="146"/>
      <c r="G45" s="198"/>
      <c r="H45" s="19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</row>
    <row r="46" spans="1:23" ht="15" x14ac:dyDescent="0.4">
      <c r="A46" s="129">
        <v>519137</v>
      </c>
      <c r="B46" s="211">
        <v>42523</v>
      </c>
      <c r="C46" s="193" t="s">
        <v>749</v>
      </c>
      <c r="D46" s="194">
        <v>42394</v>
      </c>
      <c r="E46" s="146"/>
      <c r="F46" s="146"/>
      <c r="G46" s="198"/>
      <c r="H46" s="19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</row>
    <row r="47" spans="1:23" ht="15" x14ac:dyDescent="0.4">
      <c r="A47" s="129">
        <v>519503</v>
      </c>
      <c r="B47" s="211">
        <v>42523</v>
      </c>
      <c r="C47" s="193" t="s">
        <v>750</v>
      </c>
      <c r="D47" s="194">
        <v>99814</v>
      </c>
      <c r="E47" s="146"/>
      <c r="F47" s="146"/>
      <c r="G47" s="198"/>
      <c r="H47" s="19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</row>
    <row r="48" spans="1:23" ht="15" x14ac:dyDescent="0.4">
      <c r="A48" s="129">
        <v>519703</v>
      </c>
      <c r="B48" s="211">
        <v>42523</v>
      </c>
      <c r="C48" s="193" t="s">
        <v>751</v>
      </c>
      <c r="D48" s="194">
        <v>93791</v>
      </c>
      <c r="E48" s="146"/>
      <c r="F48" s="146"/>
      <c r="G48" s="198"/>
      <c r="H48" s="19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</row>
    <row r="49" spans="1:23" ht="15" x14ac:dyDescent="0.4">
      <c r="A49" s="129">
        <v>519718</v>
      </c>
      <c r="B49" s="211">
        <v>42523</v>
      </c>
      <c r="C49" s="193" t="s">
        <v>752</v>
      </c>
      <c r="D49" s="194">
        <v>80956</v>
      </c>
      <c r="E49" s="146"/>
      <c r="F49" s="146"/>
      <c r="G49" s="198"/>
      <c r="H49" s="19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</row>
    <row r="50" spans="1:23" ht="15" x14ac:dyDescent="0.4">
      <c r="A50" s="129">
        <v>520835</v>
      </c>
      <c r="B50" s="211">
        <v>42523</v>
      </c>
      <c r="C50" s="193" t="s">
        <v>753</v>
      </c>
      <c r="D50" s="194">
        <v>18829</v>
      </c>
      <c r="E50" s="146"/>
      <c r="F50" s="146"/>
      <c r="G50" s="198"/>
      <c r="H50" s="19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</row>
    <row r="51" spans="1:23" ht="15" x14ac:dyDescent="0.4">
      <c r="A51" s="129">
        <v>520986</v>
      </c>
      <c r="B51" s="211">
        <v>42523</v>
      </c>
      <c r="C51" s="193" t="s">
        <v>754</v>
      </c>
      <c r="D51" s="194">
        <v>26205</v>
      </c>
      <c r="E51" s="146"/>
      <c r="F51" s="146"/>
      <c r="G51" s="198"/>
      <c r="H51" s="19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</row>
    <row r="52" spans="1:23" ht="15" x14ac:dyDescent="0.4">
      <c r="A52" s="129">
        <v>522099</v>
      </c>
      <c r="B52" s="211">
        <v>42523</v>
      </c>
      <c r="C52" s="193" t="s">
        <v>755</v>
      </c>
      <c r="D52" s="194">
        <v>30827</v>
      </c>
      <c r="E52" s="146"/>
      <c r="F52" s="146"/>
      <c r="G52" s="198"/>
      <c r="H52" s="19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</row>
    <row r="53" spans="1:23" ht="15" x14ac:dyDescent="0.4">
      <c r="A53" s="129">
        <v>529684</v>
      </c>
      <c r="B53" s="211">
        <v>42523</v>
      </c>
      <c r="C53" s="193" t="s">
        <v>756</v>
      </c>
      <c r="D53" s="194">
        <v>93276</v>
      </c>
      <c r="E53" s="146"/>
      <c r="F53" s="146"/>
      <c r="G53" s="198"/>
      <c r="H53" s="19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</row>
    <row r="54" spans="1:23" ht="15" x14ac:dyDescent="0.4">
      <c r="A54" s="129">
        <v>530255</v>
      </c>
      <c r="B54" s="211">
        <v>42523</v>
      </c>
      <c r="C54" s="193" t="s">
        <v>757</v>
      </c>
      <c r="D54" s="194">
        <v>49256</v>
      </c>
      <c r="E54" s="146"/>
      <c r="F54" s="146"/>
      <c r="G54" s="198"/>
      <c r="H54" s="19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</row>
    <row r="55" spans="1:23" ht="15" x14ac:dyDescent="0.4">
      <c r="A55" s="129">
        <v>530760</v>
      </c>
      <c r="B55" s="211">
        <v>42523</v>
      </c>
      <c r="C55" s="193" t="s">
        <v>758</v>
      </c>
      <c r="D55" s="194">
        <v>81448</v>
      </c>
      <c r="E55" s="146"/>
      <c r="F55" s="146"/>
      <c r="G55" s="198"/>
      <c r="H55" s="19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</row>
    <row r="56" spans="1:23" ht="15" x14ac:dyDescent="0.4">
      <c r="A56" s="129">
        <v>531964</v>
      </c>
      <c r="B56" s="211">
        <v>42523</v>
      </c>
      <c r="C56" s="193" t="s">
        <v>759</v>
      </c>
      <c r="D56" s="194">
        <v>25262</v>
      </c>
      <c r="E56" s="146"/>
      <c r="F56" s="146"/>
      <c r="G56" s="198"/>
      <c r="H56" s="19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</row>
    <row r="57" spans="1:23" ht="15" x14ac:dyDescent="0.4">
      <c r="A57" s="129">
        <v>531976</v>
      </c>
      <c r="B57" s="211">
        <v>42523</v>
      </c>
      <c r="C57" s="193" t="s">
        <v>760</v>
      </c>
      <c r="D57" s="194">
        <v>54583</v>
      </c>
      <c r="E57" s="146"/>
      <c r="F57" s="146"/>
      <c r="G57" s="198"/>
      <c r="H57" s="19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</row>
    <row r="58" spans="1:23" ht="15" x14ac:dyDescent="0.4">
      <c r="A58" s="129">
        <v>219927</v>
      </c>
      <c r="B58" s="211">
        <v>42524</v>
      </c>
      <c r="C58" s="193" t="s">
        <v>761</v>
      </c>
      <c r="D58" s="194">
        <v>17358</v>
      </c>
      <c r="E58" s="146"/>
      <c r="F58" s="146"/>
      <c r="G58" s="198"/>
      <c r="H58" s="19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</row>
    <row r="59" spans="1:23" ht="15" x14ac:dyDescent="0.4">
      <c r="A59" s="129">
        <v>220555</v>
      </c>
      <c r="B59" s="211">
        <v>42524</v>
      </c>
      <c r="C59" s="193" t="s">
        <v>762</v>
      </c>
      <c r="D59" s="194">
        <v>70173</v>
      </c>
      <c r="E59" s="146"/>
      <c r="F59" s="146"/>
      <c r="G59" s="198"/>
      <c r="H59" s="19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</row>
    <row r="60" spans="1:23" ht="15" x14ac:dyDescent="0.4">
      <c r="A60" s="129">
        <v>220560</v>
      </c>
      <c r="B60" s="211">
        <v>42524</v>
      </c>
      <c r="C60" s="193" t="s">
        <v>763</v>
      </c>
      <c r="D60" s="194">
        <v>95365</v>
      </c>
      <c r="E60" s="146"/>
      <c r="F60" s="146"/>
      <c r="G60" s="198"/>
      <c r="H60" s="19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</row>
    <row r="61" spans="1:23" ht="15" x14ac:dyDescent="0.4">
      <c r="A61" s="129">
        <v>222263</v>
      </c>
      <c r="B61" s="211">
        <v>42524</v>
      </c>
      <c r="C61" s="193" t="s">
        <v>764</v>
      </c>
      <c r="D61" s="194">
        <v>43131</v>
      </c>
      <c r="E61" s="146"/>
      <c r="F61" s="146"/>
      <c r="G61" s="198"/>
      <c r="H61" s="19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</row>
    <row r="62" spans="1:23" ht="15" x14ac:dyDescent="0.4">
      <c r="A62" s="129">
        <v>222270</v>
      </c>
      <c r="B62" s="211">
        <v>42524</v>
      </c>
      <c r="C62" s="193" t="s">
        <v>765</v>
      </c>
      <c r="D62" s="194">
        <v>22375</v>
      </c>
      <c r="E62" s="146"/>
      <c r="F62" s="146"/>
      <c r="G62" s="198"/>
      <c r="H62" s="19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</row>
    <row r="63" spans="1:23" ht="15" x14ac:dyDescent="0.4">
      <c r="A63" s="129">
        <v>516278</v>
      </c>
      <c r="B63" s="211">
        <v>42524</v>
      </c>
      <c r="C63" s="193" t="s">
        <v>15</v>
      </c>
      <c r="D63" s="194">
        <v>44915</v>
      </c>
      <c r="E63" s="146"/>
      <c r="F63" s="146"/>
      <c r="G63" s="198"/>
      <c r="H63" s="19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</row>
    <row r="64" spans="1:23" ht="15" x14ac:dyDescent="0.4">
      <c r="A64" s="129">
        <v>516290</v>
      </c>
      <c r="B64" s="211">
        <v>42524</v>
      </c>
      <c r="C64" s="193" t="s">
        <v>766</v>
      </c>
      <c r="D64" s="194">
        <v>40383</v>
      </c>
      <c r="E64" s="146"/>
      <c r="F64" s="146"/>
      <c r="G64" s="198"/>
      <c r="H64" s="19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</row>
    <row r="65" spans="1:23" ht="15" x14ac:dyDescent="0.4">
      <c r="A65" s="129">
        <v>516646</v>
      </c>
      <c r="B65" s="211">
        <v>42524</v>
      </c>
      <c r="C65" s="193" t="s">
        <v>767</v>
      </c>
      <c r="D65" s="194">
        <v>93665</v>
      </c>
      <c r="E65" s="146"/>
      <c r="F65" s="146"/>
      <c r="G65" s="198"/>
      <c r="H65" s="19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</row>
    <row r="66" spans="1:23" ht="15" x14ac:dyDescent="0.4">
      <c r="A66" s="129">
        <v>516700</v>
      </c>
      <c r="B66" s="211">
        <v>42524</v>
      </c>
      <c r="C66" s="193" t="s">
        <v>180</v>
      </c>
      <c r="D66" s="194">
        <v>84226</v>
      </c>
      <c r="E66" s="146"/>
      <c r="F66" s="146"/>
      <c r="G66" s="198"/>
      <c r="H66" s="19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</row>
    <row r="67" spans="1:23" ht="15" x14ac:dyDescent="0.4">
      <c r="A67" s="129">
        <v>516741</v>
      </c>
      <c r="B67" s="211">
        <v>42524</v>
      </c>
      <c r="C67" s="193" t="s">
        <v>768</v>
      </c>
      <c r="D67" s="194">
        <v>71361</v>
      </c>
      <c r="E67" s="146"/>
      <c r="F67" s="146"/>
      <c r="G67" s="198"/>
      <c r="H67" s="19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</row>
    <row r="68" spans="1:23" ht="15" x14ac:dyDescent="0.4">
      <c r="A68" s="129">
        <v>516778</v>
      </c>
      <c r="B68" s="211">
        <v>42524</v>
      </c>
      <c r="C68" s="193" t="s">
        <v>769</v>
      </c>
      <c r="D68" s="194">
        <v>29099</v>
      </c>
      <c r="E68" s="146"/>
      <c r="F68" s="146"/>
      <c r="G68" s="198"/>
      <c r="H68" s="19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</row>
    <row r="69" spans="1:23" ht="15" x14ac:dyDescent="0.4">
      <c r="A69" s="129">
        <v>517814</v>
      </c>
      <c r="B69" s="211">
        <v>42524</v>
      </c>
      <c r="C69" s="193" t="s">
        <v>770</v>
      </c>
      <c r="D69" s="194">
        <v>57548</v>
      </c>
      <c r="E69" s="146"/>
      <c r="F69" s="146"/>
      <c r="G69" s="198"/>
      <c r="H69" s="19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</row>
    <row r="70" spans="1:23" ht="15" x14ac:dyDescent="0.4">
      <c r="A70" s="129">
        <v>518664</v>
      </c>
      <c r="B70" s="211">
        <v>42524</v>
      </c>
      <c r="C70" s="193" t="s">
        <v>771</v>
      </c>
      <c r="D70" s="194">
        <v>69650</v>
      </c>
      <c r="E70" s="146"/>
      <c r="F70" s="146"/>
      <c r="G70" s="198"/>
      <c r="H70" s="19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</row>
    <row r="71" spans="1:23" ht="15" x14ac:dyDescent="0.4">
      <c r="A71" s="129">
        <v>519552</v>
      </c>
      <c r="B71" s="211">
        <v>42524</v>
      </c>
      <c r="C71" s="193" t="s">
        <v>772</v>
      </c>
      <c r="D71" s="194">
        <v>11751</v>
      </c>
      <c r="E71" s="146"/>
      <c r="F71" s="146"/>
      <c r="G71" s="198"/>
      <c r="H71" s="19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</row>
    <row r="72" spans="1:23" ht="15" x14ac:dyDescent="0.4">
      <c r="A72" s="129">
        <v>519706</v>
      </c>
      <c r="B72" s="211">
        <v>42524</v>
      </c>
      <c r="C72" s="193" t="s">
        <v>773</v>
      </c>
      <c r="D72" s="194">
        <v>19629</v>
      </c>
      <c r="E72" s="146"/>
      <c r="F72" s="146"/>
      <c r="G72" s="198"/>
      <c r="H72" s="19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</row>
    <row r="73" spans="1:23" ht="15" x14ac:dyDescent="0.4">
      <c r="A73" s="129">
        <v>519734</v>
      </c>
      <c r="B73" s="211">
        <v>42524</v>
      </c>
      <c r="C73" s="193" t="s">
        <v>774</v>
      </c>
      <c r="D73" s="194">
        <v>47558</v>
      </c>
      <c r="E73" s="146"/>
      <c r="F73" s="146"/>
      <c r="G73" s="198"/>
      <c r="H73" s="19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</row>
    <row r="74" spans="1:23" ht="15" x14ac:dyDescent="0.4">
      <c r="A74" s="129">
        <v>520713</v>
      </c>
      <c r="B74" s="211">
        <v>42524</v>
      </c>
      <c r="C74" s="193" t="s">
        <v>775</v>
      </c>
      <c r="D74" s="194">
        <v>90860</v>
      </c>
      <c r="E74" s="146"/>
      <c r="F74" s="146"/>
      <c r="G74" s="198"/>
      <c r="H74" s="19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</row>
    <row r="75" spans="1:23" ht="15" x14ac:dyDescent="0.4">
      <c r="A75" s="129">
        <v>520892</v>
      </c>
      <c r="B75" s="211">
        <v>42524</v>
      </c>
      <c r="C75" s="193" t="s">
        <v>776</v>
      </c>
      <c r="D75" s="194">
        <v>77829</v>
      </c>
      <c r="E75" s="146"/>
      <c r="F75" s="146"/>
      <c r="G75" s="198"/>
      <c r="H75" s="19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</row>
    <row r="76" spans="1:23" ht="15" x14ac:dyDescent="0.4">
      <c r="A76" s="129">
        <v>521451</v>
      </c>
      <c r="B76" s="211">
        <v>42524</v>
      </c>
      <c r="C76" s="193" t="s">
        <v>777</v>
      </c>
      <c r="D76" s="194">
        <v>51487</v>
      </c>
      <c r="E76" s="146"/>
      <c r="F76" s="146"/>
      <c r="G76" s="198"/>
      <c r="H76" s="19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</row>
    <row r="77" spans="1:23" ht="15" x14ac:dyDescent="0.4">
      <c r="A77" s="129">
        <v>521891</v>
      </c>
      <c r="B77" s="211">
        <v>42524</v>
      </c>
      <c r="C77" s="193" t="s">
        <v>778</v>
      </c>
      <c r="D77" s="194">
        <v>45862</v>
      </c>
      <c r="E77" s="146"/>
      <c r="F77" s="146"/>
      <c r="G77" s="198"/>
      <c r="H77" s="19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</row>
    <row r="78" spans="1:23" ht="15" x14ac:dyDescent="0.4">
      <c r="A78" s="129">
        <v>521915</v>
      </c>
      <c r="B78" s="211">
        <v>42524</v>
      </c>
      <c r="C78" s="193" t="s">
        <v>779</v>
      </c>
      <c r="D78" s="194">
        <v>35604</v>
      </c>
      <c r="E78" s="146"/>
      <c r="F78" s="146"/>
      <c r="G78" s="198"/>
      <c r="H78" s="19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</row>
    <row r="79" spans="1:23" ht="15" x14ac:dyDescent="0.4">
      <c r="A79" s="129">
        <v>529161</v>
      </c>
      <c r="B79" s="211">
        <v>42524</v>
      </c>
      <c r="C79" s="193" t="s">
        <v>780</v>
      </c>
      <c r="D79" s="194">
        <v>65606</v>
      </c>
      <c r="E79" s="146"/>
      <c r="F79" s="146"/>
      <c r="G79" s="198"/>
      <c r="H79" s="19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</row>
    <row r="80" spans="1:23" ht="15" x14ac:dyDescent="0.4">
      <c r="A80" s="129">
        <v>529272</v>
      </c>
      <c r="B80" s="211">
        <v>42524</v>
      </c>
      <c r="C80" s="193" t="s">
        <v>781</v>
      </c>
      <c r="D80" s="194">
        <v>16267</v>
      </c>
      <c r="E80" s="146"/>
      <c r="F80" s="146"/>
      <c r="G80" s="198"/>
      <c r="H80" s="19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</row>
    <row r="81" spans="1:23" ht="15" x14ac:dyDescent="0.4">
      <c r="A81" s="129">
        <v>530062</v>
      </c>
      <c r="B81" s="211">
        <v>42524</v>
      </c>
      <c r="C81" s="193" t="s">
        <v>782</v>
      </c>
      <c r="D81" s="194">
        <v>89618</v>
      </c>
      <c r="E81" s="146"/>
      <c r="F81" s="146"/>
      <c r="G81" s="198"/>
      <c r="H81" s="19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</row>
    <row r="82" spans="1:23" ht="15" x14ac:dyDescent="0.4">
      <c r="A82" s="129">
        <v>530277</v>
      </c>
      <c r="B82" s="211">
        <v>42524</v>
      </c>
      <c r="C82" s="193" t="s">
        <v>783</v>
      </c>
      <c r="D82" s="194">
        <v>23668</v>
      </c>
      <c r="E82" s="146"/>
      <c r="F82" s="146"/>
      <c r="G82" s="198"/>
      <c r="H82" s="19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</row>
    <row r="83" spans="1:23" ht="15" x14ac:dyDescent="0.4">
      <c r="A83" s="129">
        <v>530755</v>
      </c>
      <c r="B83" s="211">
        <v>42524</v>
      </c>
      <c r="C83" s="193" t="s">
        <v>784</v>
      </c>
      <c r="D83" s="194">
        <v>34889</v>
      </c>
      <c r="E83" s="146"/>
      <c r="F83" s="146"/>
      <c r="G83" s="198"/>
      <c r="H83" s="19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</row>
    <row r="84" spans="1:23" ht="15" x14ac:dyDescent="0.4">
      <c r="A84" s="129">
        <v>530761</v>
      </c>
      <c r="B84" s="211">
        <v>42524</v>
      </c>
      <c r="C84" s="193" t="s">
        <v>785</v>
      </c>
      <c r="D84" s="194">
        <v>26303</v>
      </c>
      <c r="E84" s="146"/>
      <c r="F84" s="146"/>
      <c r="G84" s="198"/>
      <c r="H84" s="19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</row>
    <row r="85" spans="1:23" ht="15" x14ac:dyDescent="0.4">
      <c r="A85" s="129">
        <v>531974</v>
      </c>
      <c r="B85" s="211">
        <v>42524</v>
      </c>
      <c r="C85" s="193" t="s">
        <v>786</v>
      </c>
      <c r="D85" s="194">
        <v>70327</v>
      </c>
      <c r="E85" s="146"/>
      <c r="F85" s="146"/>
      <c r="G85" s="198"/>
      <c r="H85" s="19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</row>
    <row r="86" spans="1:23" ht="15" x14ac:dyDescent="0.4">
      <c r="A86" s="129">
        <v>214140</v>
      </c>
      <c r="B86" s="211">
        <v>42525</v>
      </c>
      <c r="C86" s="193" t="s">
        <v>787</v>
      </c>
      <c r="D86" s="194">
        <v>51959</v>
      </c>
      <c r="E86" s="146"/>
      <c r="F86" s="146"/>
      <c r="G86" s="198"/>
      <c r="H86" s="19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</row>
    <row r="87" spans="1:23" ht="15" x14ac:dyDescent="0.4">
      <c r="A87" s="129">
        <v>216850</v>
      </c>
      <c r="B87" s="211">
        <v>42525</v>
      </c>
      <c r="C87" s="193" t="s">
        <v>788</v>
      </c>
      <c r="D87" s="194">
        <v>80810</v>
      </c>
      <c r="E87" s="146"/>
      <c r="F87" s="146"/>
      <c r="G87" s="198"/>
      <c r="H87" s="19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</row>
    <row r="88" spans="1:23" ht="15" x14ac:dyDescent="0.4">
      <c r="A88" s="129">
        <v>218863</v>
      </c>
      <c r="B88" s="211">
        <v>42525</v>
      </c>
      <c r="C88" s="193" t="s">
        <v>789</v>
      </c>
      <c r="D88" s="194">
        <v>42120</v>
      </c>
      <c r="E88" s="146"/>
      <c r="F88" s="146"/>
      <c r="G88" s="198"/>
      <c r="H88" s="19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</row>
    <row r="89" spans="1:23" ht="15" x14ac:dyDescent="0.4">
      <c r="A89" s="129">
        <v>219690</v>
      </c>
      <c r="B89" s="211">
        <v>42525</v>
      </c>
      <c r="C89" s="193" t="s">
        <v>790</v>
      </c>
      <c r="D89" s="194">
        <v>80526</v>
      </c>
      <c r="E89" s="146"/>
      <c r="F89" s="146"/>
      <c r="G89" s="198"/>
      <c r="H89" s="19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</row>
    <row r="90" spans="1:23" ht="15" x14ac:dyDescent="0.4">
      <c r="A90" s="129">
        <v>219691</v>
      </c>
      <c r="B90" s="211">
        <v>42525</v>
      </c>
      <c r="C90" s="193" t="s">
        <v>791</v>
      </c>
      <c r="D90" s="194">
        <v>15601</v>
      </c>
      <c r="E90" s="146"/>
      <c r="F90" s="146"/>
      <c r="G90" s="198"/>
      <c r="H90" s="19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</row>
    <row r="91" spans="1:23" ht="15" x14ac:dyDescent="0.4">
      <c r="A91" s="129">
        <v>220701</v>
      </c>
      <c r="B91" s="211">
        <v>42525</v>
      </c>
      <c r="C91" s="193" t="s">
        <v>792</v>
      </c>
      <c r="D91" s="194">
        <v>87432</v>
      </c>
      <c r="E91" s="146"/>
      <c r="F91" s="146"/>
      <c r="G91" s="198"/>
      <c r="H91" s="19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</row>
    <row r="92" spans="1:23" ht="15" x14ac:dyDescent="0.4">
      <c r="A92" s="129">
        <v>222312</v>
      </c>
      <c r="B92" s="211">
        <v>42525</v>
      </c>
      <c r="C92" s="193" t="s">
        <v>793</v>
      </c>
      <c r="D92" s="194">
        <v>98036</v>
      </c>
      <c r="E92" s="146"/>
      <c r="F92" s="146"/>
      <c r="G92" s="198"/>
      <c r="H92" s="19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</row>
    <row r="93" spans="1:23" ht="15" x14ac:dyDescent="0.4">
      <c r="A93" s="129">
        <v>222625</v>
      </c>
      <c r="B93" s="211">
        <v>42525</v>
      </c>
      <c r="C93" s="193" t="s">
        <v>794</v>
      </c>
      <c r="D93" s="194">
        <v>81877</v>
      </c>
      <c r="E93" s="146"/>
      <c r="F93" s="146"/>
      <c r="G93" s="198"/>
      <c r="H93" s="19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</row>
    <row r="94" spans="1:23" ht="15" x14ac:dyDescent="0.4">
      <c r="A94" s="129">
        <v>512842</v>
      </c>
      <c r="B94" s="211">
        <v>42525</v>
      </c>
      <c r="C94" s="193" t="s">
        <v>795</v>
      </c>
      <c r="D94" s="194">
        <v>39902</v>
      </c>
      <c r="E94" s="146"/>
      <c r="F94" s="146"/>
      <c r="G94" s="198"/>
      <c r="H94" s="19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</row>
    <row r="95" spans="1:23" ht="15" x14ac:dyDescent="0.4">
      <c r="A95" s="129">
        <v>513419</v>
      </c>
      <c r="B95" s="211">
        <v>42525</v>
      </c>
      <c r="C95" s="193" t="s">
        <v>796</v>
      </c>
      <c r="D95" s="194">
        <v>82112</v>
      </c>
      <c r="E95" s="146"/>
      <c r="F95" s="146"/>
      <c r="G95" s="198"/>
      <c r="H95" s="19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</row>
    <row r="96" spans="1:23" ht="15" x14ac:dyDescent="0.4">
      <c r="A96" s="129">
        <v>513746</v>
      </c>
      <c r="B96" s="211">
        <v>42525</v>
      </c>
      <c r="C96" s="193" t="s">
        <v>797</v>
      </c>
      <c r="D96" s="194">
        <v>29817</v>
      </c>
      <c r="E96" s="146"/>
      <c r="F96" s="146"/>
      <c r="G96" s="198"/>
      <c r="H96" s="19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</row>
    <row r="97" spans="1:23" ht="15" x14ac:dyDescent="0.4">
      <c r="A97" s="129">
        <v>514446</v>
      </c>
      <c r="B97" s="211">
        <v>42525</v>
      </c>
      <c r="C97" s="193" t="s">
        <v>798</v>
      </c>
      <c r="D97" s="194">
        <v>22446</v>
      </c>
      <c r="E97" s="146"/>
      <c r="F97" s="146"/>
      <c r="G97" s="198"/>
      <c r="H97" s="19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</row>
    <row r="98" spans="1:23" ht="15" x14ac:dyDescent="0.4">
      <c r="A98" s="129">
        <v>515238</v>
      </c>
      <c r="B98" s="211">
        <v>42525</v>
      </c>
      <c r="C98" s="193" t="s">
        <v>799</v>
      </c>
      <c r="D98" s="194">
        <v>76086</v>
      </c>
      <c r="E98" s="146"/>
      <c r="F98" s="146"/>
      <c r="G98" s="198"/>
      <c r="H98" s="19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</row>
    <row r="99" spans="1:23" ht="15" x14ac:dyDescent="0.4">
      <c r="A99" s="129">
        <v>515833</v>
      </c>
      <c r="B99" s="211">
        <v>42525</v>
      </c>
      <c r="C99" s="193" t="s">
        <v>800</v>
      </c>
      <c r="D99" s="194">
        <v>34688</v>
      </c>
      <c r="E99" s="146"/>
      <c r="F99" s="146"/>
      <c r="G99" s="198"/>
      <c r="H99" s="19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</row>
    <row r="100" spans="1:23" ht="15" x14ac:dyDescent="0.4">
      <c r="A100" s="129">
        <v>518670</v>
      </c>
      <c r="B100" s="211">
        <v>42525</v>
      </c>
      <c r="C100" s="193" t="s">
        <v>801</v>
      </c>
      <c r="D100" s="194">
        <v>16548</v>
      </c>
      <c r="E100" s="146"/>
      <c r="F100" s="146"/>
      <c r="G100" s="198"/>
      <c r="H100" s="19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</row>
    <row r="101" spans="1:23" ht="15" x14ac:dyDescent="0.4">
      <c r="A101" s="129">
        <v>518676</v>
      </c>
      <c r="B101" s="211">
        <v>42525</v>
      </c>
      <c r="C101" s="193" t="s">
        <v>802</v>
      </c>
      <c r="D101" s="194">
        <v>20637</v>
      </c>
      <c r="E101" s="146"/>
      <c r="F101" s="146"/>
      <c r="G101" s="198"/>
      <c r="H101" s="19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</row>
    <row r="102" spans="1:23" ht="15" x14ac:dyDescent="0.4">
      <c r="A102" s="129">
        <v>518913</v>
      </c>
      <c r="B102" s="211">
        <v>42525</v>
      </c>
      <c r="C102" s="193" t="s">
        <v>803</v>
      </c>
      <c r="D102" s="194">
        <v>54317</v>
      </c>
      <c r="E102" s="146"/>
      <c r="F102" s="146"/>
      <c r="G102" s="198"/>
      <c r="H102" s="19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</row>
    <row r="103" spans="1:23" ht="15" x14ac:dyDescent="0.4">
      <c r="A103" s="129">
        <v>519712</v>
      </c>
      <c r="B103" s="211">
        <v>42525</v>
      </c>
      <c r="C103" s="193" t="s">
        <v>804</v>
      </c>
      <c r="D103" s="194">
        <v>35647</v>
      </c>
      <c r="E103" s="146"/>
      <c r="F103" s="146"/>
      <c r="G103" s="198"/>
      <c r="H103" s="19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</row>
    <row r="104" spans="1:23" ht="15" x14ac:dyDescent="0.4">
      <c r="A104" s="129">
        <v>520631</v>
      </c>
      <c r="B104" s="211">
        <v>42525</v>
      </c>
      <c r="C104" s="193" t="s">
        <v>805</v>
      </c>
      <c r="D104" s="194">
        <v>44976</v>
      </c>
      <c r="E104" s="146"/>
      <c r="F104" s="146"/>
      <c r="G104" s="198"/>
      <c r="H104" s="19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</row>
    <row r="105" spans="1:23" ht="15" x14ac:dyDescent="0.4">
      <c r="A105" s="129">
        <v>520716</v>
      </c>
      <c r="B105" s="211">
        <v>42525</v>
      </c>
      <c r="C105" s="193" t="s">
        <v>806</v>
      </c>
      <c r="D105" s="194">
        <v>97142</v>
      </c>
      <c r="E105" s="146"/>
      <c r="F105" s="146"/>
      <c r="G105" s="198"/>
      <c r="H105" s="19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</row>
    <row r="106" spans="1:23" ht="15" x14ac:dyDescent="0.4">
      <c r="A106" s="129">
        <v>520762</v>
      </c>
      <c r="B106" s="211">
        <v>42525</v>
      </c>
      <c r="C106" s="193" t="s">
        <v>807</v>
      </c>
      <c r="D106" s="194">
        <v>41367</v>
      </c>
      <c r="E106" s="146"/>
      <c r="F106" s="146"/>
      <c r="G106" s="198"/>
      <c r="H106" s="19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</row>
    <row r="107" spans="1:23" ht="15" x14ac:dyDescent="0.4">
      <c r="A107" s="129">
        <v>521505</v>
      </c>
      <c r="B107" s="211">
        <v>42525</v>
      </c>
      <c r="C107" s="193" t="s">
        <v>808</v>
      </c>
      <c r="D107" s="194">
        <v>31835</v>
      </c>
      <c r="E107" s="146"/>
      <c r="F107" s="146"/>
      <c r="G107" s="198"/>
      <c r="H107" s="19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</row>
    <row r="108" spans="1:23" ht="15" x14ac:dyDescent="0.4">
      <c r="A108" s="129">
        <v>521508</v>
      </c>
      <c r="B108" s="211">
        <v>42525</v>
      </c>
      <c r="C108" s="193" t="s">
        <v>809</v>
      </c>
      <c r="D108" s="194">
        <v>16991</v>
      </c>
      <c r="E108" s="146"/>
      <c r="F108" s="146"/>
      <c r="G108" s="198"/>
      <c r="H108" s="19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</row>
    <row r="109" spans="1:23" ht="15" x14ac:dyDescent="0.4">
      <c r="A109" s="129">
        <v>529147</v>
      </c>
      <c r="B109" s="211">
        <v>42525</v>
      </c>
      <c r="C109" s="193" t="s">
        <v>810</v>
      </c>
      <c r="D109" s="194">
        <v>57783</v>
      </c>
      <c r="E109" s="146"/>
      <c r="F109" s="146"/>
      <c r="G109" s="198"/>
      <c r="H109" s="19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</row>
    <row r="110" spans="1:23" ht="15" x14ac:dyDescent="0.4">
      <c r="A110" s="129">
        <v>530280</v>
      </c>
      <c r="B110" s="211">
        <v>42525</v>
      </c>
      <c r="C110" s="193" t="s">
        <v>811</v>
      </c>
      <c r="D110" s="194">
        <v>23122</v>
      </c>
      <c r="E110" s="146"/>
      <c r="F110" s="146"/>
      <c r="G110" s="198"/>
      <c r="H110" s="19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</row>
    <row r="111" spans="1:23" ht="15" x14ac:dyDescent="0.4">
      <c r="A111" s="129">
        <v>531523</v>
      </c>
      <c r="B111" s="211">
        <v>42525</v>
      </c>
      <c r="C111" s="193" t="s">
        <v>812</v>
      </c>
      <c r="D111" s="194">
        <v>61120</v>
      </c>
      <c r="E111" s="146"/>
      <c r="F111" s="146"/>
      <c r="G111" s="198"/>
      <c r="H111" s="19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</row>
    <row r="112" spans="1:23" ht="15" x14ac:dyDescent="0.4">
      <c r="A112" s="129">
        <v>213466</v>
      </c>
      <c r="B112" s="211">
        <v>42526</v>
      </c>
      <c r="C112" s="193" t="s">
        <v>813</v>
      </c>
      <c r="D112" s="194">
        <v>35518</v>
      </c>
      <c r="E112" s="146"/>
      <c r="F112" s="146"/>
      <c r="G112" s="198"/>
      <c r="H112" s="19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</row>
    <row r="113" spans="1:23" ht="15" x14ac:dyDescent="0.4">
      <c r="A113" s="129">
        <v>218854</v>
      </c>
      <c r="B113" s="211">
        <v>42526</v>
      </c>
      <c r="C113" s="193" t="s">
        <v>814</v>
      </c>
      <c r="D113" s="194">
        <v>69387</v>
      </c>
      <c r="E113" s="146"/>
      <c r="F113" s="146"/>
      <c r="G113" s="198"/>
      <c r="H113" s="19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</row>
    <row r="114" spans="1:23" ht="15" x14ac:dyDescent="0.4">
      <c r="A114" s="129">
        <v>219204</v>
      </c>
      <c r="B114" s="211">
        <v>42526</v>
      </c>
      <c r="C114" s="193" t="s">
        <v>815</v>
      </c>
      <c r="D114" s="194">
        <v>93498</v>
      </c>
      <c r="E114" s="146"/>
      <c r="F114" s="146"/>
      <c r="G114" s="198"/>
      <c r="H114" s="19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</row>
    <row r="115" spans="1:23" ht="15" x14ac:dyDescent="0.4">
      <c r="A115" s="129">
        <v>220567</v>
      </c>
      <c r="B115" s="211">
        <v>42526</v>
      </c>
      <c r="C115" s="193" t="s">
        <v>816</v>
      </c>
      <c r="D115" s="194">
        <v>96805</v>
      </c>
      <c r="E115" s="146"/>
      <c r="F115" s="146"/>
      <c r="G115" s="198"/>
      <c r="H115" s="19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</row>
    <row r="116" spans="1:23" ht="15" x14ac:dyDescent="0.4">
      <c r="A116" s="129">
        <v>221265</v>
      </c>
      <c r="B116" s="211">
        <v>42526</v>
      </c>
      <c r="C116" s="193" t="s">
        <v>817</v>
      </c>
      <c r="D116" s="194">
        <v>63278</v>
      </c>
      <c r="E116" s="146"/>
      <c r="F116" s="146"/>
      <c r="G116" s="198"/>
      <c r="H116" s="19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</row>
    <row r="117" spans="1:23" ht="15" x14ac:dyDescent="0.4">
      <c r="A117" s="129">
        <v>222334</v>
      </c>
      <c r="B117" s="211">
        <v>42526</v>
      </c>
      <c r="C117" s="193" t="s">
        <v>818</v>
      </c>
      <c r="D117" s="194">
        <v>22576</v>
      </c>
      <c r="E117" s="146"/>
      <c r="F117" s="146"/>
      <c r="G117" s="198"/>
      <c r="H117" s="19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</row>
    <row r="118" spans="1:23" ht="15" x14ac:dyDescent="0.4">
      <c r="A118" s="129">
        <v>512825</v>
      </c>
      <c r="B118" s="211">
        <v>42526</v>
      </c>
      <c r="C118" s="193" t="s">
        <v>819</v>
      </c>
      <c r="D118" s="194">
        <v>36789</v>
      </c>
      <c r="E118" s="146"/>
      <c r="F118" s="146"/>
      <c r="G118" s="198"/>
      <c r="H118" s="19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</row>
    <row r="119" spans="1:23" ht="15" x14ac:dyDescent="0.4">
      <c r="A119" s="129">
        <v>515263</v>
      </c>
      <c r="B119" s="211">
        <v>42526</v>
      </c>
      <c r="C119" s="193" t="s">
        <v>820</v>
      </c>
      <c r="D119" s="194">
        <v>90882</v>
      </c>
      <c r="E119" s="146"/>
      <c r="F119" s="146"/>
      <c r="G119" s="198"/>
      <c r="H119" s="19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</row>
    <row r="120" spans="1:23" ht="15" x14ac:dyDescent="0.4">
      <c r="A120" s="129">
        <v>515280</v>
      </c>
      <c r="B120" s="211">
        <v>42526</v>
      </c>
      <c r="C120" s="193" t="s">
        <v>821</v>
      </c>
      <c r="D120" s="194">
        <v>16265</v>
      </c>
      <c r="E120" s="146"/>
      <c r="F120" s="146"/>
      <c r="G120" s="198"/>
      <c r="H120" s="19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</row>
    <row r="121" spans="1:23" ht="15" x14ac:dyDescent="0.4">
      <c r="A121" s="129">
        <v>515629</v>
      </c>
      <c r="B121" s="211">
        <v>42526</v>
      </c>
      <c r="C121" s="193" t="s">
        <v>822</v>
      </c>
      <c r="D121" s="194">
        <v>61946</v>
      </c>
      <c r="E121" s="146"/>
      <c r="F121" s="146"/>
      <c r="G121" s="198"/>
      <c r="H121" s="19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</row>
    <row r="122" spans="1:23" ht="15" x14ac:dyDescent="0.4">
      <c r="A122" s="129">
        <v>516133</v>
      </c>
      <c r="B122" s="211">
        <v>42526</v>
      </c>
      <c r="C122" s="193" t="s">
        <v>823</v>
      </c>
      <c r="D122" s="194">
        <v>25296</v>
      </c>
      <c r="E122" s="146"/>
      <c r="F122" s="146"/>
      <c r="G122" s="198"/>
      <c r="H122" s="19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</row>
    <row r="123" spans="1:23" ht="15" x14ac:dyDescent="0.4">
      <c r="A123" s="129">
        <v>516489</v>
      </c>
      <c r="B123" s="211">
        <v>42526</v>
      </c>
      <c r="C123" s="193" t="s">
        <v>824</v>
      </c>
      <c r="D123" s="194">
        <v>73433</v>
      </c>
      <c r="E123" s="146"/>
      <c r="F123" s="146"/>
      <c r="G123" s="198"/>
      <c r="H123" s="19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</row>
    <row r="124" spans="1:23" ht="15" x14ac:dyDescent="0.4">
      <c r="A124" s="129">
        <v>516494</v>
      </c>
      <c r="B124" s="211">
        <v>42526</v>
      </c>
      <c r="C124" s="193" t="s">
        <v>825</v>
      </c>
      <c r="D124" s="194">
        <v>98180</v>
      </c>
      <c r="E124" s="146"/>
      <c r="F124" s="146"/>
      <c r="G124" s="198"/>
      <c r="H124" s="19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</row>
    <row r="125" spans="1:23" ht="15" x14ac:dyDescent="0.4">
      <c r="A125" s="129">
        <v>516533</v>
      </c>
      <c r="B125" s="211">
        <v>42526</v>
      </c>
      <c r="C125" s="193" t="s">
        <v>826</v>
      </c>
      <c r="D125" s="194">
        <v>41244</v>
      </c>
      <c r="E125" s="146"/>
      <c r="F125" s="146"/>
      <c r="G125" s="198"/>
      <c r="H125" s="19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</row>
    <row r="126" spans="1:23" ht="15" x14ac:dyDescent="0.4">
      <c r="A126" s="129">
        <v>516656</v>
      </c>
      <c r="B126" s="211">
        <v>42526</v>
      </c>
      <c r="C126" s="193" t="s">
        <v>827</v>
      </c>
      <c r="D126" s="194">
        <v>45779</v>
      </c>
      <c r="E126" s="146"/>
      <c r="F126" s="146"/>
      <c r="G126" s="198"/>
      <c r="H126" s="19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</row>
    <row r="127" spans="1:23" ht="15" x14ac:dyDescent="0.4">
      <c r="A127" s="129">
        <v>518119</v>
      </c>
      <c r="B127" s="211">
        <v>42526</v>
      </c>
      <c r="C127" s="193" t="s">
        <v>828</v>
      </c>
      <c r="D127" s="194">
        <v>38087</v>
      </c>
      <c r="E127" s="146"/>
      <c r="F127" s="146"/>
      <c r="G127" s="198"/>
      <c r="H127" s="19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</row>
    <row r="128" spans="1:23" ht="15" x14ac:dyDescent="0.4">
      <c r="A128" s="129">
        <v>518585</v>
      </c>
      <c r="B128" s="211">
        <v>42526</v>
      </c>
      <c r="C128" s="193" t="s">
        <v>829</v>
      </c>
      <c r="D128" s="194">
        <v>88595</v>
      </c>
      <c r="E128" s="146"/>
      <c r="F128" s="146"/>
      <c r="G128" s="198"/>
      <c r="H128" s="19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</row>
    <row r="129" spans="1:23" ht="15" x14ac:dyDescent="0.4">
      <c r="A129" s="129">
        <v>519191</v>
      </c>
      <c r="B129" s="211">
        <v>42526</v>
      </c>
      <c r="C129" s="193" t="s">
        <v>830</v>
      </c>
      <c r="D129" s="194">
        <v>80408</v>
      </c>
      <c r="E129" s="146"/>
      <c r="F129" s="146"/>
      <c r="G129" s="198"/>
      <c r="H129" s="19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</row>
    <row r="130" spans="1:23" ht="15" x14ac:dyDescent="0.4">
      <c r="A130" s="129">
        <v>520657</v>
      </c>
      <c r="B130" s="211">
        <v>42526</v>
      </c>
      <c r="C130" s="193" t="s">
        <v>831</v>
      </c>
      <c r="D130" s="194">
        <v>62815</v>
      </c>
      <c r="E130" s="146"/>
      <c r="F130" s="146"/>
      <c r="G130" s="198"/>
      <c r="H130" s="19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</row>
    <row r="131" spans="1:23" ht="15" x14ac:dyDescent="0.4">
      <c r="A131" s="129">
        <v>520844</v>
      </c>
      <c r="B131" s="211">
        <v>42526</v>
      </c>
      <c r="C131" s="193" t="s">
        <v>832</v>
      </c>
      <c r="D131" s="194">
        <v>42494</v>
      </c>
      <c r="E131" s="146"/>
      <c r="F131" s="146"/>
      <c r="G131" s="198"/>
      <c r="H131" s="19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</row>
    <row r="132" spans="1:23" ht="15" x14ac:dyDescent="0.4">
      <c r="A132" s="129">
        <v>520886</v>
      </c>
      <c r="B132" s="211">
        <v>42526</v>
      </c>
      <c r="C132" s="193" t="s">
        <v>833</v>
      </c>
      <c r="D132" s="194">
        <v>92758</v>
      </c>
      <c r="E132" s="146"/>
      <c r="F132" s="146"/>
      <c r="G132" s="198"/>
      <c r="H132" s="19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</row>
    <row r="133" spans="1:23" ht="15" x14ac:dyDescent="0.4">
      <c r="A133" s="129">
        <v>521488</v>
      </c>
      <c r="B133" s="211">
        <v>42526</v>
      </c>
      <c r="C133" s="193" t="s">
        <v>834</v>
      </c>
      <c r="D133" s="194">
        <v>52097</v>
      </c>
      <c r="E133" s="146"/>
      <c r="F133" s="146"/>
      <c r="G133" s="198"/>
      <c r="H133" s="19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</row>
    <row r="134" spans="1:23" ht="15" x14ac:dyDescent="0.4">
      <c r="A134" s="129">
        <v>521763</v>
      </c>
      <c r="B134" s="211">
        <v>42526</v>
      </c>
      <c r="C134" s="193" t="s">
        <v>835</v>
      </c>
      <c r="D134" s="194">
        <v>96078</v>
      </c>
      <c r="E134" s="146"/>
      <c r="F134" s="146"/>
      <c r="G134" s="198"/>
      <c r="H134" s="19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</row>
    <row r="135" spans="1:23" ht="15" x14ac:dyDescent="0.4">
      <c r="A135" s="129">
        <v>522125</v>
      </c>
      <c r="B135" s="211">
        <v>42526</v>
      </c>
      <c r="C135" s="193" t="s">
        <v>836</v>
      </c>
      <c r="D135" s="194">
        <v>19522</v>
      </c>
      <c r="E135" s="146"/>
      <c r="F135" s="146"/>
      <c r="G135" s="198"/>
      <c r="H135" s="19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</row>
    <row r="136" spans="1:23" ht="15" x14ac:dyDescent="0.4">
      <c r="A136" s="129">
        <v>528872</v>
      </c>
      <c r="B136" s="211">
        <v>42526</v>
      </c>
      <c r="C136" s="193" t="s">
        <v>837</v>
      </c>
      <c r="D136" s="194">
        <v>23149</v>
      </c>
      <c r="E136" s="146"/>
      <c r="F136" s="146"/>
      <c r="G136" s="198"/>
      <c r="H136" s="19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</row>
    <row r="137" spans="1:23" ht="15" x14ac:dyDescent="0.4">
      <c r="A137" s="129">
        <v>529146</v>
      </c>
      <c r="B137" s="211">
        <v>42526</v>
      </c>
      <c r="C137" s="193" t="s">
        <v>838</v>
      </c>
      <c r="D137" s="194">
        <v>25906</v>
      </c>
      <c r="E137" s="146"/>
      <c r="F137" s="146"/>
      <c r="G137" s="198"/>
      <c r="H137" s="19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</row>
    <row r="138" spans="1:23" ht="15" x14ac:dyDescent="0.4">
      <c r="A138" s="129">
        <v>529220</v>
      </c>
      <c r="B138" s="211">
        <v>42526</v>
      </c>
      <c r="C138" s="193" t="s">
        <v>839</v>
      </c>
      <c r="D138" s="194">
        <v>91005</v>
      </c>
      <c r="E138" s="146"/>
      <c r="F138" s="146"/>
      <c r="G138" s="198"/>
      <c r="H138" s="19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</row>
    <row r="139" spans="1:23" ht="15" x14ac:dyDescent="0.4">
      <c r="A139" s="129">
        <v>529274</v>
      </c>
      <c r="B139" s="211">
        <v>42526</v>
      </c>
      <c r="C139" s="193" t="s">
        <v>840</v>
      </c>
      <c r="D139" s="194">
        <v>95089</v>
      </c>
      <c r="E139" s="146"/>
      <c r="F139" s="146"/>
      <c r="G139" s="198"/>
      <c r="H139" s="19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</row>
    <row r="140" spans="1:23" ht="15" x14ac:dyDescent="0.4">
      <c r="A140" s="129">
        <v>529283</v>
      </c>
      <c r="B140" s="211">
        <v>42526</v>
      </c>
      <c r="C140" s="193" t="s">
        <v>841</v>
      </c>
      <c r="D140" s="194">
        <v>16223</v>
      </c>
      <c r="E140" s="146"/>
      <c r="F140" s="146"/>
      <c r="G140" s="198"/>
      <c r="H140" s="19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</row>
    <row r="141" spans="1:23" ht="15" x14ac:dyDescent="0.4">
      <c r="A141" s="129">
        <v>530051</v>
      </c>
      <c r="B141" s="211">
        <v>42526</v>
      </c>
      <c r="C141" s="193" t="s">
        <v>842</v>
      </c>
      <c r="D141" s="194">
        <v>36197</v>
      </c>
      <c r="E141" s="146"/>
      <c r="F141" s="146"/>
      <c r="G141" s="198"/>
      <c r="H141" s="19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</row>
    <row r="142" spans="1:23" ht="15" x14ac:dyDescent="0.4">
      <c r="A142" s="129">
        <v>530519</v>
      </c>
      <c r="B142" s="211">
        <v>42526</v>
      </c>
      <c r="C142" s="193" t="s">
        <v>843</v>
      </c>
      <c r="D142" s="194">
        <v>73253</v>
      </c>
      <c r="E142" s="146"/>
      <c r="F142" s="146"/>
      <c r="G142" s="198"/>
      <c r="H142" s="19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</row>
    <row r="143" spans="1:23" ht="15" x14ac:dyDescent="0.4">
      <c r="A143" s="129">
        <v>531326</v>
      </c>
      <c r="B143" s="211">
        <v>42526</v>
      </c>
      <c r="C143" s="193" t="s">
        <v>844</v>
      </c>
      <c r="D143" s="194">
        <v>91850</v>
      </c>
      <c r="E143" s="146"/>
      <c r="F143" s="146"/>
      <c r="G143" s="198"/>
      <c r="H143" s="19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</row>
    <row r="144" spans="1:23" ht="15" x14ac:dyDescent="0.4">
      <c r="A144" s="129">
        <v>220553</v>
      </c>
      <c r="B144" s="211">
        <v>42527</v>
      </c>
      <c r="C144" s="193" t="s">
        <v>845</v>
      </c>
      <c r="D144" s="194">
        <v>25218</v>
      </c>
      <c r="E144" s="146"/>
      <c r="F144" s="146"/>
      <c r="G144" s="198"/>
      <c r="H144" s="19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</row>
    <row r="145" spans="1:23" ht="15" x14ac:dyDescent="0.4">
      <c r="A145" s="129">
        <v>221124</v>
      </c>
      <c r="B145" s="211">
        <v>42527</v>
      </c>
      <c r="C145" s="193" t="s">
        <v>846</v>
      </c>
      <c r="D145" s="194">
        <v>57328</v>
      </c>
      <c r="E145" s="146"/>
      <c r="F145" s="146"/>
      <c r="G145" s="198"/>
      <c r="H145" s="19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</row>
    <row r="146" spans="1:23" ht="15" x14ac:dyDescent="0.4">
      <c r="A146" s="129">
        <v>221526</v>
      </c>
      <c r="B146" s="211">
        <v>42527</v>
      </c>
      <c r="C146" s="193" t="s">
        <v>847</v>
      </c>
      <c r="D146" s="194">
        <v>42702</v>
      </c>
      <c r="E146" s="146"/>
      <c r="F146" s="146"/>
      <c r="G146" s="198"/>
      <c r="H146" s="19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</row>
    <row r="147" spans="1:23" ht="15" x14ac:dyDescent="0.4">
      <c r="A147" s="129">
        <v>221872</v>
      </c>
      <c r="B147" s="211">
        <v>42527</v>
      </c>
      <c r="C147" s="193" t="s">
        <v>848</v>
      </c>
      <c r="D147" s="194">
        <v>55757</v>
      </c>
      <c r="E147" s="146"/>
      <c r="F147" s="146"/>
      <c r="G147" s="198"/>
      <c r="H147" s="19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</row>
    <row r="148" spans="1:23" ht="15" x14ac:dyDescent="0.4">
      <c r="A148" s="129">
        <v>221913</v>
      </c>
      <c r="B148" s="211">
        <v>42527</v>
      </c>
      <c r="C148" s="193" t="s">
        <v>849</v>
      </c>
      <c r="D148" s="194">
        <v>41139</v>
      </c>
      <c r="E148" s="146"/>
      <c r="F148" s="146"/>
      <c r="G148" s="198"/>
      <c r="H148" s="19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</row>
    <row r="149" spans="1:23" ht="15" x14ac:dyDescent="0.4">
      <c r="A149" s="129">
        <v>222023</v>
      </c>
      <c r="B149" s="211">
        <v>42527</v>
      </c>
      <c r="C149" s="193" t="s">
        <v>850</v>
      </c>
      <c r="D149" s="194">
        <v>12891</v>
      </c>
      <c r="E149" s="146"/>
      <c r="F149" s="146"/>
      <c r="G149" s="198"/>
      <c r="H149" s="19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</row>
    <row r="150" spans="1:23" ht="15" x14ac:dyDescent="0.4">
      <c r="A150" s="129">
        <v>222326</v>
      </c>
      <c r="B150" s="211">
        <v>42527</v>
      </c>
      <c r="C150" s="193" t="s">
        <v>851</v>
      </c>
      <c r="D150" s="194">
        <v>79247</v>
      </c>
      <c r="E150" s="146"/>
      <c r="F150" s="146"/>
      <c r="G150" s="198"/>
      <c r="H150" s="19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</row>
    <row r="151" spans="1:23" ht="15" x14ac:dyDescent="0.4">
      <c r="A151" s="129">
        <v>513110</v>
      </c>
      <c r="B151" s="211">
        <v>42527</v>
      </c>
      <c r="C151" s="193" t="s">
        <v>852</v>
      </c>
      <c r="D151" s="194">
        <v>64586</v>
      </c>
      <c r="E151" s="146"/>
      <c r="F151" s="146"/>
      <c r="G151" s="198"/>
      <c r="H151" s="19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</row>
    <row r="152" spans="1:23" ht="15" x14ac:dyDescent="0.4">
      <c r="A152" s="129">
        <v>513704</v>
      </c>
      <c r="B152" s="211">
        <v>42527</v>
      </c>
      <c r="C152" s="193" t="s">
        <v>853</v>
      </c>
      <c r="D152" s="194">
        <v>24887</v>
      </c>
      <c r="E152" s="146"/>
      <c r="F152" s="146"/>
      <c r="G152" s="198"/>
      <c r="H152" s="19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</row>
    <row r="153" spans="1:23" ht="15" x14ac:dyDescent="0.4">
      <c r="A153" s="129">
        <v>514518</v>
      </c>
      <c r="B153" s="211">
        <v>42527</v>
      </c>
      <c r="C153" s="193" t="s">
        <v>854</v>
      </c>
      <c r="D153" s="194">
        <v>88378</v>
      </c>
      <c r="E153" s="146"/>
      <c r="F153" s="146"/>
      <c r="G153" s="198"/>
      <c r="H153" s="19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</row>
    <row r="154" spans="1:23" ht="15" x14ac:dyDescent="0.4">
      <c r="A154" s="129">
        <v>515387</v>
      </c>
      <c r="B154" s="211">
        <v>42527</v>
      </c>
      <c r="C154" s="193" t="s">
        <v>855</v>
      </c>
      <c r="D154" s="194">
        <v>96782</v>
      </c>
      <c r="E154" s="146"/>
      <c r="F154" s="146"/>
      <c r="G154" s="198"/>
      <c r="H154" s="19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</row>
    <row r="155" spans="1:23" ht="15" x14ac:dyDescent="0.4">
      <c r="A155" s="129">
        <v>515848</v>
      </c>
      <c r="B155" s="211">
        <v>42527</v>
      </c>
      <c r="C155" s="193" t="s">
        <v>856</v>
      </c>
      <c r="D155" s="194">
        <v>92633</v>
      </c>
      <c r="E155" s="146"/>
      <c r="F155" s="146"/>
      <c r="G155" s="198"/>
      <c r="H155" s="19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</row>
    <row r="156" spans="1:23" ht="15" x14ac:dyDescent="0.4">
      <c r="A156" s="129">
        <v>515925</v>
      </c>
      <c r="B156" s="211">
        <v>42527</v>
      </c>
      <c r="C156" s="193" t="s">
        <v>857</v>
      </c>
      <c r="D156" s="194">
        <v>84503</v>
      </c>
      <c r="E156" s="146"/>
      <c r="F156" s="146"/>
      <c r="G156" s="198"/>
      <c r="H156" s="19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</row>
    <row r="157" spans="1:23" ht="15" x14ac:dyDescent="0.4">
      <c r="A157" s="129">
        <v>516109</v>
      </c>
      <c r="B157" s="211">
        <v>42527</v>
      </c>
      <c r="C157" s="193" t="s">
        <v>858</v>
      </c>
      <c r="D157" s="194">
        <v>23923</v>
      </c>
      <c r="E157" s="146"/>
      <c r="F157" s="146"/>
      <c r="G157" s="198"/>
      <c r="H157" s="19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</row>
    <row r="158" spans="1:23" ht="15" x14ac:dyDescent="0.4">
      <c r="A158" s="129">
        <v>518053</v>
      </c>
      <c r="B158" s="211">
        <v>42527</v>
      </c>
      <c r="C158" s="193" t="s">
        <v>859</v>
      </c>
      <c r="D158" s="194">
        <v>11105</v>
      </c>
      <c r="E158" s="146"/>
      <c r="F158" s="146"/>
      <c r="G158" s="198"/>
      <c r="H158" s="19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</row>
    <row r="159" spans="1:23" ht="15" x14ac:dyDescent="0.4">
      <c r="A159" s="129">
        <v>518109</v>
      </c>
      <c r="B159" s="211">
        <v>42527</v>
      </c>
      <c r="C159" s="193" t="s">
        <v>860</v>
      </c>
      <c r="D159" s="194">
        <v>77252</v>
      </c>
      <c r="E159" s="146"/>
      <c r="F159" s="146"/>
      <c r="G159" s="198"/>
      <c r="H159" s="19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</row>
    <row r="160" spans="1:23" ht="15" x14ac:dyDescent="0.4">
      <c r="A160" s="129">
        <v>518666</v>
      </c>
      <c r="B160" s="211">
        <v>42527</v>
      </c>
      <c r="C160" s="193" t="s">
        <v>861</v>
      </c>
      <c r="D160" s="194">
        <v>40369</v>
      </c>
      <c r="E160" s="146"/>
      <c r="F160" s="146"/>
      <c r="G160" s="198"/>
      <c r="H160" s="19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</row>
    <row r="161" spans="1:23" ht="15" x14ac:dyDescent="0.4">
      <c r="A161" s="129">
        <v>519647</v>
      </c>
      <c r="B161" s="211">
        <v>42527</v>
      </c>
      <c r="C161" s="193" t="s">
        <v>862</v>
      </c>
      <c r="D161" s="194">
        <v>58240</v>
      </c>
      <c r="E161" s="146"/>
      <c r="F161" s="146"/>
      <c r="G161" s="198"/>
      <c r="H161" s="19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</row>
    <row r="162" spans="1:23" ht="15" x14ac:dyDescent="0.4">
      <c r="A162" s="129">
        <v>519653</v>
      </c>
      <c r="B162" s="211">
        <v>42527</v>
      </c>
      <c r="C162" s="193" t="s">
        <v>863</v>
      </c>
      <c r="D162" s="194">
        <v>30563</v>
      </c>
      <c r="E162" s="146"/>
      <c r="F162" s="146"/>
      <c r="G162" s="198"/>
      <c r="H162" s="19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</row>
    <row r="163" spans="1:23" ht="15" x14ac:dyDescent="0.4">
      <c r="A163" s="129">
        <v>519711</v>
      </c>
      <c r="B163" s="211">
        <v>42527</v>
      </c>
      <c r="C163" s="193" t="s">
        <v>864</v>
      </c>
      <c r="D163" s="194">
        <v>46468</v>
      </c>
      <c r="E163" s="146"/>
      <c r="F163" s="146"/>
      <c r="G163" s="198"/>
      <c r="H163" s="19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</row>
    <row r="164" spans="1:23" ht="15" x14ac:dyDescent="0.4">
      <c r="A164" s="129">
        <v>520857</v>
      </c>
      <c r="B164" s="211">
        <v>42527</v>
      </c>
      <c r="C164" s="193" t="s">
        <v>865</v>
      </c>
      <c r="D164" s="194">
        <v>94291</v>
      </c>
      <c r="E164" s="146"/>
      <c r="F164" s="146"/>
      <c r="G164" s="198"/>
      <c r="H164" s="19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</row>
    <row r="165" spans="1:23" ht="15" x14ac:dyDescent="0.4">
      <c r="A165" s="129">
        <v>521503</v>
      </c>
      <c r="B165" s="211">
        <v>42527</v>
      </c>
      <c r="C165" s="193" t="s">
        <v>866</v>
      </c>
      <c r="D165" s="194">
        <v>23470</v>
      </c>
      <c r="E165" s="146"/>
      <c r="F165" s="146"/>
      <c r="G165" s="198"/>
      <c r="H165" s="19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</row>
    <row r="166" spans="1:23" ht="15" x14ac:dyDescent="0.4">
      <c r="A166" s="129">
        <v>521753</v>
      </c>
      <c r="B166" s="211">
        <v>42527</v>
      </c>
      <c r="C166" s="193" t="s">
        <v>867</v>
      </c>
      <c r="D166" s="194">
        <v>17691</v>
      </c>
      <c r="E166" s="146"/>
      <c r="F166" s="146"/>
      <c r="G166" s="198"/>
      <c r="H166" s="19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</row>
    <row r="167" spans="1:23" ht="15" x14ac:dyDescent="0.4">
      <c r="A167" s="129">
        <v>530248</v>
      </c>
      <c r="B167" s="211">
        <v>42527</v>
      </c>
      <c r="C167" s="193" t="s">
        <v>868</v>
      </c>
      <c r="D167" s="194">
        <v>65044</v>
      </c>
      <c r="E167" s="146"/>
      <c r="F167" s="146"/>
      <c r="G167" s="198"/>
      <c r="H167" s="19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</row>
    <row r="168" spans="1:23" ht="15" x14ac:dyDescent="0.4">
      <c r="A168" s="129">
        <v>530264</v>
      </c>
      <c r="B168" s="211">
        <v>42527</v>
      </c>
      <c r="C168" s="193" t="s">
        <v>869</v>
      </c>
      <c r="D168" s="194">
        <v>73701</v>
      </c>
      <c r="E168" s="146"/>
      <c r="F168" s="146"/>
      <c r="G168" s="198"/>
      <c r="H168" s="19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</row>
    <row r="169" spans="1:23" ht="15" x14ac:dyDescent="0.4">
      <c r="A169" s="129">
        <v>530518</v>
      </c>
      <c r="B169" s="211">
        <v>42527</v>
      </c>
      <c r="C169" s="193" t="s">
        <v>870</v>
      </c>
      <c r="D169" s="194">
        <v>49553</v>
      </c>
      <c r="E169" s="146"/>
      <c r="F169" s="146"/>
      <c r="G169" s="198"/>
      <c r="H169" s="19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</row>
    <row r="170" spans="1:23" ht="15" x14ac:dyDescent="0.4">
      <c r="A170" s="129">
        <v>530879</v>
      </c>
      <c r="B170" s="211">
        <v>42527</v>
      </c>
      <c r="C170" s="193" t="s">
        <v>871</v>
      </c>
      <c r="D170" s="194">
        <v>50442</v>
      </c>
      <c r="E170" s="146"/>
      <c r="F170" s="146"/>
      <c r="G170" s="198"/>
      <c r="H170" s="19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</row>
    <row r="171" spans="1:23" ht="15" x14ac:dyDescent="0.4">
      <c r="A171" s="129">
        <v>531442</v>
      </c>
      <c r="B171" s="211">
        <v>42527</v>
      </c>
      <c r="C171" s="193" t="s">
        <v>872</v>
      </c>
      <c r="D171" s="194">
        <v>33809</v>
      </c>
      <c r="E171" s="146"/>
      <c r="F171" s="146"/>
      <c r="G171" s="198"/>
      <c r="H171" s="19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</row>
    <row r="172" spans="1:23" ht="15" x14ac:dyDescent="0.4">
      <c r="A172" s="129">
        <v>221108</v>
      </c>
      <c r="B172" s="211">
        <v>42528</v>
      </c>
      <c r="C172" s="193" t="s">
        <v>873</v>
      </c>
      <c r="D172" s="194">
        <v>15047</v>
      </c>
      <c r="E172" s="146"/>
      <c r="F172" s="146"/>
      <c r="G172" s="198"/>
      <c r="H172" s="19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</row>
    <row r="173" spans="1:23" ht="15" x14ac:dyDescent="0.4">
      <c r="A173" s="129">
        <v>221117</v>
      </c>
      <c r="B173" s="211">
        <v>42528</v>
      </c>
      <c r="C173" s="193" t="s">
        <v>874</v>
      </c>
      <c r="D173" s="194">
        <v>33713</v>
      </c>
      <c r="E173" s="146"/>
      <c r="F173" s="146"/>
      <c r="G173" s="198"/>
      <c r="H173" s="19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</row>
    <row r="174" spans="1:23" ht="15" x14ac:dyDescent="0.4">
      <c r="A174" s="129">
        <v>221422</v>
      </c>
      <c r="B174" s="211">
        <v>42528</v>
      </c>
      <c r="C174" s="193" t="s">
        <v>875</v>
      </c>
      <c r="D174" s="194">
        <v>69588</v>
      </c>
      <c r="E174" s="146"/>
      <c r="F174" s="146"/>
      <c r="G174" s="198"/>
      <c r="H174" s="19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</row>
    <row r="175" spans="1:23" ht="15" x14ac:dyDescent="0.4">
      <c r="A175" s="129">
        <v>513696</v>
      </c>
      <c r="B175" s="211">
        <v>42528</v>
      </c>
      <c r="C175" s="193" t="s">
        <v>876</v>
      </c>
      <c r="D175" s="194">
        <v>67622</v>
      </c>
      <c r="E175" s="146"/>
      <c r="F175" s="146"/>
      <c r="G175" s="198"/>
      <c r="H175" s="19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</row>
    <row r="176" spans="1:23" ht="15" x14ac:dyDescent="0.4">
      <c r="A176" s="129">
        <v>515260</v>
      </c>
      <c r="B176" s="211">
        <v>42528</v>
      </c>
      <c r="C176" s="193" t="s">
        <v>877</v>
      </c>
      <c r="D176" s="194">
        <v>52745</v>
      </c>
      <c r="E176" s="146"/>
      <c r="F176" s="146"/>
      <c r="G176" s="198"/>
      <c r="H176" s="19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</row>
    <row r="177" spans="1:23" ht="15" x14ac:dyDescent="0.4">
      <c r="A177" s="129">
        <v>515959</v>
      </c>
      <c r="B177" s="211">
        <v>42528</v>
      </c>
      <c r="C177" s="193" t="s">
        <v>878</v>
      </c>
      <c r="D177" s="194">
        <v>35670</v>
      </c>
      <c r="E177" s="146"/>
      <c r="F177" s="146"/>
      <c r="G177" s="198"/>
      <c r="H177" s="19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</row>
    <row r="178" spans="1:23" ht="15" x14ac:dyDescent="0.4">
      <c r="A178" s="129">
        <v>516764</v>
      </c>
      <c r="B178" s="211">
        <v>42528</v>
      </c>
      <c r="C178" s="193" t="s">
        <v>879</v>
      </c>
      <c r="D178" s="194">
        <v>91132</v>
      </c>
      <c r="E178" s="146"/>
      <c r="F178" s="146"/>
      <c r="G178" s="198"/>
      <c r="H178" s="19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</row>
    <row r="179" spans="1:23" ht="15" x14ac:dyDescent="0.4">
      <c r="A179" s="129">
        <v>517760</v>
      </c>
      <c r="B179" s="211">
        <v>42528</v>
      </c>
      <c r="C179" s="193" t="s">
        <v>880</v>
      </c>
      <c r="D179" s="194">
        <v>68352</v>
      </c>
      <c r="E179" s="146"/>
      <c r="F179" s="146"/>
      <c r="G179" s="198"/>
      <c r="H179" s="19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</row>
    <row r="180" spans="1:23" ht="15" x14ac:dyDescent="0.4">
      <c r="A180" s="129">
        <v>518071</v>
      </c>
      <c r="B180" s="211">
        <v>42528</v>
      </c>
      <c r="C180" s="193" t="s">
        <v>881</v>
      </c>
      <c r="D180" s="194">
        <v>79599</v>
      </c>
      <c r="E180" s="146"/>
      <c r="F180" s="146"/>
      <c r="G180" s="198"/>
      <c r="H180" s="19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</row>
    <row r="181" spans="1:23" ht="15" x14ac:dyDescent="0.4">
      <c r="A181" s="129">
        <v>519176</v>
      </c>
      <c r="B181" s="211">
        <v>42528</v>
      </c>
      <c r="C181" s="193" t="s">
        <v>882</v>
      </c>
      <c r="D181" s="194">
        <v>14173</v>
      </c>
      <c r="E181" s="146"/>
      <c r="F181" s="146"/>
      <c r="G181" s="198"/>
      <c r="H181" s="19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</row>
    <row r="182" spans="1:23" ht="15" x14ac:dyDescent="0.4">
      <c r="A182" s="129">
        <v>519195</v>
      </c>
      <c r="B182" s="211">
        <v>42528</v>
      </c>
      <c r="C182" s="193" t="s">
        <v>883</v>
      </c>
      <c r="D182" s="194">
        <v>96946</v>
      </c>
      <c r="E182" s="146"/>
      <c r="F182" s="146"/>
      <c r="G182" s="198"/>
      <c r="H182" s="19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</row>
    <row r="183" spans="1:23" ht="15" x14ac:dyDescent="0.4">
      <c r="A183" s="129">
        <v>519701</v>
      </c>
      <c r="B183" s="211">
        <v>42528</v>
      </c>
      <c r="C183" s="193" t="s">
        <v>884</v>
      </c>
      <c r="D183" s="194">
        <v>57316</v>
      </c>
      <c r="E183" s="146"/>
      <c r="F183" s="146"/>
      <c r="G183" s="198"/>
      <c r="H183" s="19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</row>
    <row r="184" spans="1:23" ht="15" x14ac:dyDescent="0.4">
      <c r="A184" s="129">
        <v>520020</v>
      </c>
      <c r="B184" s="211">
        <v>42528</v>
      </c>
      <c r="C184" s="193" t="s">
        <v>885</v>
      </c>
      <c r="D184" s="194">
        <v>43828</v>
      </c>
      <c r="E184" s="146"/>
      <c r="F184" s="146"/>
      <c r="G184" s="198"/>
      <c r="H184" s="19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</row>
    <row r="185" spans="1:23" ht="15" x14ac:dyDescent="0.4">
      <c r="A185" s="129">
        <v>528525</v>
      </c>
      <c r="B185" s="211">
        <v>42528</v>
      </c>
      <c r="C185" s="193" t="s">
        <v>886</v>
      </c>
      <c r="D185" s="194">
        <v>96193</v>
      </c>
      <c r="E185" s="146"/>
      <c r="F185" s="146"/>
      <c r="G185" s="198"/>
      <c r="H185" s="19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</row>
    <row r="186" spans="1:23" ht="15" x14ac:dyDescent="0.4">
      <c r="A186" s="129">
        <v>528537</v>
      </c>
      <c r="B186" s="211">
        <v>42528</v>
      </c>
      <c r="C186" s="193" t="s">
        <v>887</v>
      </c>
      <c r="D186" s="194">
        <v>67932</v>
      </c>
      <c r="E186" s="146"/>
      <c r="F186" s="146"/>
      <c r="G186" s="198"/>
      <c r="H186" s="19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</row>
    <row r="187" spans="1:23" ht="15" x14ac:dyDescent="0.4">
      <c r="A187" s="129">
        <v>529683</v>
      </c>
      <c r="B187" s="211">
        <v>42528</v>
      </c>
      <c r="C187" s="193" t="s">
        <v>888</v>
      </c>
      <c r="D187" s="194">
        <v>36425</v>
      </c>
      <c r="E187" s="146"/>
      <c r="F187" s="146"/>
      <c r="G187" s="198"/>
      <c r="H187" s="19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</row>
    <row r="188" spans="1:23" ht="15" x14ac:dyDescent="0.4">
      <c r="A188" s="129">
        <v>530053</v>
      </c>
      <c r="B188" s="211">
        <v>42528</v>
      </c>
      <c r="C188" s="193" t="s">
        <v>889</v>
      </c>
      <c r="D188" s="194">
        <v>24232</v>
      </c>
      <c r="E188" s="146"/>
      <c r="F188" s="146"/>
      <c r="G188" s="198"/>
      <c r="H188" s="19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</row>
    <row r="189" spans="1:23" ht="15" x14ac:dyDescent="0.4">
      <c r="A189" s="129">
        <v>530270</v>
      </c>
      <c r="B189" s="211">
        <v>42528</v>
      </c>
      <c r="C189" s="193" t="s">
        <v>890</v>
      </c>
      <c r="D189" s="194">
        <v>51508</v>
      </c>
      <c r="E189" s="146"/>
      <c r="F189" s="146"/>
      <c r="G189" s="198"/>
      <c r="H189" s="19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</row>
    <row r="190" spans="1:23" ht="15" x14ac:dyDescent="0.4">
      <c r="A190" s="129">
        <v>530752</v>
      </c>
      <c r="B190" s="211">
        <v>42528</v>
      </c>
      <c r="C190" s="193" t="s">
        <v>891</v>
      </c>
      <c r="D190" s="194">
        <v>11681</v>
      </c>
      <c r="E190" s="146"/>
      <c r="F190" s="146"/>
      <c r="G190" s="198"/>
      <c r="H190" s="19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</row>
    <row r="191" spans="1:23" ht="15" x14ac:dyDescent="0.4">
      <c r="A191" s="129">
        <v>530869</v>
      </c>
      <c r="B191" s="211">
        <v>42528</v>
      </c>
      <c r="C191" s="193" t="s">
        <v>892</v>
      </c>
      <c r="D191" s="194">
        <v>98079</v>
      </c>
      <c r="E191" s="146"/>
      <c r="F191" s="146"/>
      <c r="G191" s="198"/>
      <c r="H191" s="19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</row>
    <row r="192" spans="1:23" ht="15" x14ac:dyDescent="0.4">
      <c r="A192" s="129">
        <v>532084</v>
      </c>
      <c r="B192" s="211">
        <v>42528</v>
      </c>
      <c r="C192" s="193" t="s">
        <v>893</v>
      </c>
      <c r="D192" s="194">
        <v>53696</v>
      </c>
      <c r="E192" s="146"/>
      <c r="F192" s="146"/>
      <c r="G192" s="198"/>
      <c r="H192" s="19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</row>
    <row r="193" spans="1:23" ht="15" x14ac:dyDescent="0.4">
      <c r="A193" s="129">
        <v>213906</v>
      </c>
      <c r="B193" s="211">
        <v>42529</v>
      </c>
      <c r="C193" s="193" t="s">
        <v>894</v>
      </c>
      <c r="D193" s="194">
        <v>30903</v>
      </c>
      <c r="E193" s="146"/>
      <c r="F193" s="146"/>
      <c r="G193" s="198"/>
      <c r="H193" s="19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</row>
    <row r="194" spans="1:23" ht="15" x14ac:dyDescent="0.4">
      <c r="A194" s="129">
        <v>219940</v>
      </c>
      <c r="B194" s="211">
        <v>42529</v>
      </c>
      <c r="C194" s="193" t="s">
        <v>895</v>
      </c>
      <c r="D194" s="194">
        <v>77595</v>
      </c>
      <c r="E194" s="146"/>
      <c r="F194" s="146"/>
      <c r="G194" s="198"/>
      <c r="H194" s="19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</row>
    <row r="195" spans="1:23" ht="15" x14ac:dyDescent="0.4">
      <c r="A195" s="129">
        <v>221224</v>
      </c>
      <c r="B195" s="211">
        <v>42529</v>
      </c>
      <c r="C195" s="193" t="s">
        <v>896</v>
      </c>
      <c r="D195" s="194">
        <v>92440</v>
      </c>
      <c r="E195" s="146"/>
      <c r="F195" s="146"/>
      <c r="G195" s="198"/>
      <c r="H195" s="19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</row>
    <row r="196" spans="1:23" ht="15" x14ac:dyDescent="0.4">
      <c r="A196" s="129">
        <v>221773</v>
      </c>
      <c r="B196" s="211">
        <v>42529</v>
      </c>
      <c r="C196" s="193" t="s">
        <v>897</v>
      </c>
      <c r="D196" s="194">
        <v>92296</v>
      </c>
      <c r="E196" s="146"/>
      <c r="F196" s="146"/>
      <c r="G196" s="198"/>
      <c r="H196" s="19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</row>
    <row r="197" spans="1:23" ht="15" x14ac:dyDescent="0.4">
      <c r="A197" s="129">
        <v>514305</v>
      </c>
      <c r="B197" s="211">
        <v>42529</v>
      </c>
      <c r="C197" s="193" t="s">
        <v>898</v>
      </c>
      <c r="D197" s="194">
        <v>44049</v>
      </c>
      <c r="E197" s="146"/>
      <c r="F197" s="146"/>
      <c r="G197" s="198"/>
      <c r="H197" s="19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</row>
    <row r="198" spans="1:23" ht="15" x14ac:dyDescent="0.4">
      <c r="A198" s="129">
        <v>514311</v>
      </c>
      <c r="B198" s="211">
        <v>42529</v>
      </c>
      <c r="C198" s="193" t="s">
        <v>899</v>
      </c>
      <c r="D198" s="194">
        <v>77222</v>
      </c>
      <c r="E198" s="146"/>
      <c r="F198" s="146"/>
      <c r="G198" s="198"/>
      <c r="H198" s="19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</row>
    <row r="199" spans="1:23" ht="15" x14ac:dyDescent="0.4">
      <c r="A199" s="129">
        <v>514312</v>
      </c>
      <c r="B199" s="211">
        <v>42529</v>
      </c>
      <c r="C199" s="193" t="s">
        <v>900</v>
      </c>
      <c r="D199" s="194">
        <v>38211</v>
      </c>
      <c r="E199" s="146"/>
      <c r="F199" s="146"/>
      <c r="G199" s="198"/>
      <c r="H199" s="19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</row>
    <row r="200" spans="1:23" ht="15" x14ac:dyDescent="0.4">
      <c r="A200" s="129">
        <v>515216</v>
      </c>
      <c r="B200" s="211">
        <v>42529</v>
      </c>
      <c r="C200" s="193" t="s">
        <v>901</v>
      </c>
      <c r="D200" s="194">
        <v>33356</v>
      </c>
      <c r="E200" s="146"/>
      <c r="F200" s="146"/>
      <c r="G200" s="198"/>
      <c r="H200" s="19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</row>
    <row r="201" spans="1:23" ht="15" x14ac:dyDescent="0.4">
      <c r="A201" s="129">
        <v>515528</v>
      </c>
      <c r="B201" s="211">
        <v>42529</v>
      </c>
      <c r="C201" s="193" t="s">
        <v>902</v>
      </c>
      <c r="D201" s="194">
        <v>33652</v>
      </c>
      <c r="E201" s="146"/>
      <c r="F201" s="146"/>
      <c r="G201" s="198"/>
      <c r="H201" s="19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</row>
    <row r="202" spans="1:23" ht="15" x14ac:dyDescent="0.4">
      <c r="A202" s="129">
        <v>517829</v>
      </c>
      <c r="B202" s="211">
        <v>42529</v>
      </c>
      <c r="C202" s="193" t="s">
        <v>903</v>
      </c>
      <c r="D202" s="194">
        <v>88504</v>
      </c>
      <c r="E202" s="146"/>
      <c r="F202" s="146"/>
      <c r="G202" s="198"/>
      <c r="H202" s="19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</row>
    <row r="203" spans="1:23" ht="15" x14ac:dyDescent="0.4">
      <c r="A203" s="129">
        <v>518695</v>
      </c>
      <c r="B203" s="211">
        <v>42529</v>
      </c>
      <c r="C203" s="193" t="s">
        <v>904</v>
      </c>
      <c r="D203" s="194">
        <v>59429</v>
      </c>
      <c r="E203" s="146"/>
      <c r="F203" s="146"/>
      <c r="G203" s="198"/>
      <c r="H203" s="19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</row>
    <row r="204" spans="1:23" ht="15" x14ac:dyDescent="0.4">
      <c r="A204" s="129">
        <v>518928</v>
      </c>
      <c r="B204" s="211">
        <v>42529</v>
      </c>
      <c r="C204" s="193" t="s">
        <v>905</v>
      </c>
      <c r="D204" s="194">
        <v>27865</v>
      </c>
      <c r="E204" s="146"/>
      <c r="F204" s="146"/>
      <c r="G204" s="198"/>
      <c r="H204" s="19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</row>
    <row r="205" spans="1:23" ht="15" x14ac:dyDescent="0.4">
      <c r="A205" s="129">
        <v>519125</v>
      </c>
      <c r="B205" s="211">
        <v>42529</v>
      </c>
      <c r="C205" s="193" t="s">
        <v>906</v>
      </c>
      <c r="D205" s="194">
        <v>30757</v>
      </c>
      <c r="E205" s="146"/>
      <c r="F205" s="146"/>
      <c r="G205" s="198"/>
      <c r="H205" s="19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</row>
    <row r="206" spans="1:23" ht="15" x14ac:dyDescent="0.4">
      <c r="A206" s="129">
        <v>519150</v>
      </c>
      <c r="B206" s="211">
        <v>42529</v>
      </c>
      <c r="C206" s="193" t="s">
        <v>907</v>
      </c>
      <c r="D206" s="194">
        <v>69487</v>
      </c>
      <c r="E206" s="146"/>
      <c r="F206" s="146"/>
      <c r="G206" s="198"/>
      <c r="H206" s="19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</row>
    <row r="207" spans="1:23" ht="15" x14ac:dyDescent="0.4">
      <c r="A207" s="129">
        <v>519201</v>
      </c>
      <c r="B207" s="211">
        <v>42529</v>
      </c>
      <c r="C207" s="193" t="s">
        <v>908</v>
      </c>
      <c r="D207" s="194">
        <v>14164</v>
      </c>
      <c r="E207" s="146"/>
      <c r="F207" s="146"/>
      <c r="G207" s="198"/>
      <c r="H207" s="19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</row>
    <row r="208" spans="1:23" ht="15" x14ac:dyDescent="0.4">
      <c r="A208" s="129">
        <v>520661</v>
      </c>
      <c r="B208" s="211">
        <v>42529</v>
      </c>
      <c r="C208" s="193" t="s">
        <v>909</v>
      </c>
      <c r="D208" s="194">
        <v>99453</v>
      </c>
      <c r="E208" s="146"/>
      <c r="F208" s="146"/>
      <c r="G208" s="198"/>
      <c r="H208" s="19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</row>
    <row r="209" spans="1:23" ht="15" x14ac:dyDescent="0.4">
      <c r="A209" s="129">
        <v>521770</v>
      </c>
      <c r="B209" s="211">
        <v>42529</v>
      </c>
      <c r="C209" s="193" t="s">
        <v>910</v>
      </c>
      <c r="D209" s="194">
        <v>48136</v>
      </c>
      <c r="E209" s="146"/>
      <c r="F209" s="146"/>
      <c r="G209" s="198"/>
      <c r="H209" s="19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</row>
    <row r="210" spans="1:23" ht="15" x14ac:dyDescent="0.4">
      <c r="A210" s="129">
        <v>529217</v>
      </c>
      <c r="B210" s="211">
        <v>42529</v>
      </c>
      <c r="C210" s="193" t="s">
        <v>911</v>
      </c>
      <c r="D210" s="194">
        <v>74808</v>
      </c>
      <c r="E210" s="146"/>
      <c r="F210" s="146"/>
      <c r="G210" s="198"/>
      <c r="H210" s="19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</row>
    <row r="211" spans="1:23" ht="15" x14ac:dyDescent="0.4">
      <c r="A211" s="129">
        <v>529273</v>
      </c>
      <c r="B211" s="211">
        <v>42529</v>
      </c>
      <c r="C211" s="193" t="s">
        <v>912</v>
      </c>
      <c r="D211" s="194">
        <v>52163</v>
      </c>
      <c r="E211" s="146"/>
      <c r="F211" s="146"/>
      <c r="G211" s="198"/>
      <c r="H211" s="19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</row>
    <row r="212" spans="1:23" ht="15" x14ac:dyDescent="0.4">
      <c r="A212" s="129">
        <v>530069</v>
      </c>
      <c r="B212" s="211">
        <v>42529</v>
      </c>
      <c r="C212" s="193" t="s">
        <v>913</v>
      </c>
      <c r="D212" s="194">
        <v>73202</v>
      </c>
      <c r="E212" s="146"/>
      <c r="F212" s="146"/>
      <c r="G212" s="198"/>
      <c r="H212" s="19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</row>
    <row r="213" spans="1:23" ht="15" x14ac:dyDescent="0.4">
      <c r="A213" s="129">
        <v>530796</v>
      </c>
      <c r="B213" s="211">
        <v>42529</v>
      </c>
      <c r="C213" s="193" t="s">
        <v>914</v>
      </c>
      <c r="D213" s="194">
        <v>36214</v>
      </c>
      <c r="E213" s="146"/>
      <c r="F213" s="146"/>
      <c r="G213" s="198"/>
      <c r="H213" s="19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</row>
    <row r="214" spans="1:23" ht="15" x14ac:dyDescent="0.4">
      <c r="A214" s="129">
        <v>530883</v>
      </c>
      <c r="B214" s="211">
        <v>42529</v>
      </c>
      <c r="C214" s="193" t="s">
        <v>915</v>
      </c>
      <c r="D214" s="194">
        <v>46703</v>
      </c>
      <c r="E214" s="146"/>
      <c r="F214" s="146"/>
      <c r="G214" s="198"/>
      <c r="H214" s="19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</row>
    <row r="215" spans="1:23" ht="15" x14ac:dyDescent="0.4">
      <c r="A215" s="129">
        <v>531245</v>
      </c>
      <c r="B215" s="211">
        <v>42529</v>
      </c>
      <c r="C215" s="193" t="s">
        <v>916</v>
      </c>
      <c r="D215" s="194">
        <v>59345</v>
      </c>
      <c r="E215" s="146"/>
      <c r="F215" s="146"/>
      <c r="G215" s="198"/>
      <c r="H215" s="19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</row>
    <row r="216" spans="1:23" ht="15" x14ac:dyDescent="0.4">
      <c r="A216" s="129">
        <v>531526</v>
      </c>
      <c r="B216" s="211">
        <v>42529</v>
      </c>
      <c r="C216" s="193" t="s">
        <v>917</v>
      </c>
      <c r="D216" s="194">
        <v>51969</v>
      </c>
      <c r="E216" s="146"/>
      <c r="F216" s="146"/>
      <c r="G216" s="198"/>
      <c r="H216" s="19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</row>
    <row r="217" spans="1:23" ht="15" x14ac:dyDescent="0.4">
      <c r="A217" s="129">
        <v>213229</v>
      </c>
      <c r="B217" s="211">
        <v>42530</v>
      </c>
      <c r="C217" s="193" t="s">
        <v>918</v>
      </c>
      <c r="D217" s="194">
        <v>85409</v>
      </c>
      <c r="E217" s="146"/>
      <c r="F217" s="146"/>
      <c r="G217" s="198"/>
      <c r="H217" s="19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</row>
    <row r="218" spans="1:23" ht="15" x14ac:dyDescent="0.4">
      <c r="A218" s="129">
        <v>217887</v>
      </c>
      <c r="B218" s="211">
        <v>42530</v>
      </c>
      <c r="C218" s="193" t="s">
        <v>919</v>
      </c>
      <c r="D218" s="194">
        <v>18360</v>
      </c>
      <c r="E218" s="146"/>
      <c r="F218" s="146"/>
      <c r="G218" s="198"/>
      <c r="H218" s="19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</row>
    <row r="219" spans="1:23" ht="15" x14ac:dyDescent="0.4">
      <c r="A219" s="129">
        <v>220548</v>
      </c>
      <c r="B219" s="211">
        <v>42530</v>
      </c>
      <c r="C219" s="193" t="s">
        <v>920</v>
      </c>
      <c r="D219" s="194">
        <v>24309</v>
      </c>
      <c r="E219" s="146"/>
      <c r="F219" s="146"/>
      <c r="G219" s="198"/>
      <c r="H219" s="19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</row>
    <row r="220" spans="1:23" ht="15" x14ac:dyDescent="0.4">
      <c r="A220" s="129">
        <v>221223</v>
      </c>
      <c r="B220" s="211">
        <v>42530</v>
      </c>
      <c r="C220" s="193" t="s">
        <v>921</v>
      </c>
      <c r="D220" s="194">
        <v>47695</v>
      </c>
      <c r="E220" s="146"/>
      <c r="F220" s="146"/>
      <c r="G220" s="198"/>
      <c r="H220" s="19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</row>
    <row r="221" spans="1:23" ht="15" x14ac:dyDescent="0.4">
      <c r="A221" s="129">
        <v>222358</v>
      </c>
      <c r="B221" s="211">
        <v>42530</v>
      </c>
      <c r="C221" s="193" t="s">
        <v>922</v>
      </c>
      <c r="D221" s="194">
        <v>11957</v>
      </c>
      <c r="E221" s="146"/>
      <c r="F221" s="146"/>
      <c r="G221" s="198"/>
      <c r="H221" s="19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</row>
    <row r="222" spans="1:23" ht="15" x14ac:dyDescent="0.4">
      <c r="A222" s="129">
        <v>514861</v>
      </c>
      <c r="B222" s="211">
        <v>42530</v>
      </c>
      <c r="C222" s="193" t="s">
        <v>923</v>
      </c>
      <c r="D222" s="194">
        <v>67529</v>
      </c>
      <c r="E222" s="146"/>
      <c r="F222" s="146"/>
      <c r="G222" s="198"/>
      <c r="H222" s="19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</row>
    <row r="223" spans="1:23" ht="15" x14ac:dyDescent="0.4">
      <c r="A223" s="129">
        <v>515273</v>
      </c>
      <c r="B223" s="211">
        <v>42530</v>
      </c>
      <c r="C223" s="193" t="s">
        <v>924</v>
      </c>
      <c r="D223" s="194">
        <v>90495</v>
      </c>
      <c r="E223" s="146"/>
      <c r="F223" s="146"/>
      <c r="G223" s="198"/>
      <c r="H223" s="19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</row>
    <row r="224" spans="1:23" ht="15" x14ac:dyDescent="0.4">
      <c r="A224" s="129">
        <v>515978</v>
      </c>
      <c r="B224" s="211">
        <v>42530</v>
      </c>
      <c r="C224" s="193" t="s">
        <v>925</v>
      </c>
      <c r="D224" s="194">
        <v>40475</v>
      </c>
      <c r="E224" s="146"/>
      <c r="F224" s="146"/>
      <c r="G224" s="198"/>
      <c r="H224" s="19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</row>
    <row r="225" spans="1:23" ht="15" x14ac:dyDescent="0.4">
      <c r="A225" s="129">
        <v>518055</v>
      </c>
      <c r="B225" s="211">
        <v>42530</v>
      </c>
      <c r="C225" s="193" t="s">
        <v>926</v>
      </c>
      <c r="D225" s="194">
        <v>29900</v>
      </c>
      <c r="E225" s="146"/>
      <c r="F225" s="146"/>
      <c r="G225" s="198"/>
      <c r="H225" s="19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</row>
    <row r="226" spans="1:23" ht="15" x14ac:dyDescent="0.4">
      <c r="A226" s="129">
        <v>518066</v>
      </c>
      <c r="B226" s="211">
        <v>42530</v>
      </c>
      <c r="C226" s="193" t="s">
        <v>927</v>
      </c>
      <c r="D226" s="194">
        <v>93481</v>
      </c>
      <c r="E226" s="146"/>
      <c r="F226" s="146"/>
      <c r="G226" s="198"/>
      <c r="H226" s="19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</row>
    <row r="227" spans="1:23" ht="15" x14ac:dyDescent="0.4">
      <c r="A227" s="129">
        <v>518124</v>
      </c>
      <c r="B227" s="211">
        <v>42530</v>
      </c>
      <c r="C227" s="193" t="s">
        <v>928</v>
      </c>
      <c r="D227" s="194">
        <v>23091</v>
      </c>
      <c r="E227" s="146"/>
      <c r="F227" s="146"/>
      <c r="G227" s="198"/>
      <c r="H227" s="19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</row>
    <row r="228" spans="1:23" ht="15" x14ac:dyDescent="0.4">
      <c r="A228" s="129">
        <v>518589</v>
      </c>
      <c r="B228" s="211">
        <v>42530</v>
      </c>
      <c r="C228" s="193" t="s">
        <v>929</v>
      </c>
      <c r="D228" s="194">
        <v>42658</v>
      </c>
      <c r="E228" s="146"/>
      <c r="F228" s="146"/>
      <c r="G228" s="198"/>
      <c r="H228" s="19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</row>
    <row r="229" spans="1:23" ht="15" x14ac:dyDescent="0.4">
      <c r="A229" s="129">
        <v>518917</v>
      </c>
      <c r="B229" s="211">
        <v>42530</v>
      </c>
      <c r="C229" s="193" t="s">
        <v>930</v>
      </c>
      <c r="D229" s="194">
        <v>47491</v>
      </c>
      <c r="E229" s="146"/>
      <c r="F229" s="146"/>
      <c r="G229" s="198"/>
      <c r="H229" s="19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</row>
    <row r="230" spans="1:23" ht="15" x14ac:dyDescent="0.4">
      <c r="A230" s="129">
        <v>518931</v>
      </c>
      <c r="B230" s="211">
        <v>42530</v>
      </c>
      <c r="C230" s="193" t="s">
        <v>931</v>
      </c>
      <c r="D230" s="194">
        <v>93042</v>
      </c>
      <c r="E230" s="146"/>
      <c r="F230" s="146"/>
      <c r="G230" s="198"/>
      <c r="H230" s="19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</row>
    <row r="231" spans="1:23" ht="15" x14ac:dyDescent="0.4">
      <c r="A231" s="129">
        <v>519076</v>
      </c>
      <c r="B231" s="211">
        <v>42530</v>
      </c>
      <c r="C231" s="193" t="s">
        <v>932</v>
      </c>
      <c r="D231" s="194">
        <v>17915</v>
      </c>
      <c r="E231" s="146"/>
      <c r="F231" s="146"/>
      <c r="G231" s="198"/>
      <c r="H231" s="19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</row>
    <row r="232" spans="1:23" ht="15" x14ac:dyDescent="0.4">
      <c r="A232" s="129">
        <v>519731</v>
      </c>
      <c r="B232" s="211">
        <v>42530</v>
      </c>
      <c r="C232" s="193" t="s">
        <v>933</v>
      </c>
      <c r="D232" s="194">
        <v>97239</v>
      </c>
      <c r="E232" s="146"/>
      <c r="F232" s="146"/>
      <c r="G232" s="198"/>
      <c r="H232" s="19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</row>
    <row r="233" spans="1:23" ht="15" x14ac:dyDescent="0.4">
      <c r="A233" s="129">
        <v>519746</v>
      </c>
      <c r="B233" s="211">
        <v>42530</v>
      </c>
      <c r="C233" s="193" t="s">
        <v>934</v>
      </c>
      <c r="D233" s="194">
        <v>62638</v>
      </c>
      <c r="E233" s="146"/>
      <c r="F233" s="146"/>
      <c r="G233" s="198"/>
      <c r="H233" s="19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</row>
    <row r="234" spans="1:23" ht="15" x14ac:dyDescent="0.4">
      <c r="A234" s="129">
        <v>520941</v>
      </c>
      <c r="B234" s="211">
        <v>42530</v>
      </c>
      <c r="C234" s="193" t="s">
        <v>935</v>
      </c>
      <c r="D234" s="194">
        <v>79007</v>
      </c>
      <c r="E234" s="146"/>
      <c r="F234" s="146"/>
      <c r="G234" s="198"/>
      <c r="H234" s="19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</row>
    <row r="235" spans="1:23" ht="15" x14ac:dyDescent="0.4">
      <c r="A235" s="129">
        <v>520975</v>
      </c>
      <c r="B235" s="211">
        <v>42530</v>
      </c>
      <c r="C235" s="193" t="s">
        <v>936</v>
      </c>
      <c r="D235" s="194">
        <v>12229</v>
      </c>
      <c r="E235" s="146"/>
      <c r="F235" s="146"/>
      <c r="G235" s="198"/>
      <c r="H235" s="19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</row>
    <row r="236" spans="1:23" ht="15" x14ac:dyDescent="0.4">
      <c r="A236" s="129">
        <v>521890</v>
      </c>
      <c r="B236" s="211">
        <v>42530</v>
      </c>
      <c r="C236" s="193" t="s">
        <v>937</v>
      </c>
      <c r="D236" s="194">
        <v>42718</v>
      </c>
      <c r="E236" s="146"/>
      <c r="F236" s="146"/>
      <c r="G236" s="198"/>
      <c r="H236" s="19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</row>
    <row r="237" spans="1:23" ht="15" x14ac:dyDescent="0.4">
      <c r="A237" s="129">
        <v>528518</v>
      </c>
      <c r="B237" s="211">
        <v>42530</v>
      </c>
      <c r="C237" s="193" t="s">
        <v>938</v>
      </c>
      <c r="D237" s="194">
        <v>16614</v>
      </c>
      <c r="E237" s="146"/>
      <c r="F237" s="146"/>
      <c r="G237" s="198"/>
      <c r="H237" s="19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</row>
    <row r="238" spans="1:23" ht="15" x14ac:dyDescent="0.4">
      <c r="A238" s="129">
        <v>530056</v>
      </c>
      <c r="B238" s="211">
        <v>42530</v>
      </c>
      <c r="C238" s="193" t="s">
        <v>939</v>
      </c>
      <c r="D238" s="194">
        <v>52504</v>
      </c>
      <c r="E238" s="146"/>
      <c r="F238" s="146"/>
      <c r="G238" s="198"/>
      <c r="H238" s="19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</row>
    <row r="239" spans="1:23" ht="15" x14ac:dyDescent="0.4">
      <c r="A239" s="129">
        <v>530283</v>
      </c>
      <c r="B239" s="211">
        <v>42530</v>
      </c>
      <c r="C239" s="193" t="s">
        <v>940</v>
      </c>
      <c r="D239" s="194">
        <v>85495</v>
      </c>
      <c r="E239" s="146"/>
      <c r="F239" s="146"/>
      <c r="G239" s="198"/>
      <c r="H239" s="19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</row>
    <row r="240" spans="1:23" ht="15" x14ac:dyDescent="0.4">
      <c r="A240" s="129">
        <v>217860</v>
      </c>
      <c r="B240" s="211">
        <v>42531</v>
      </c>
      <c r="C240" s="193" t="s">
        <v>941</v>
      </c>
      <c r="D240" s="194">
        <v>69949</v>
      </c>
      <c r="E240" s="146"/>
      <c r="F240" s="146"/>
      <c r="G240" s="198"/>
      <c r="H240" s="19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</row>
    <row r="241" spans="1:23" ht="15" x14ac:dyDescent="0.4">
      <c r="A241" s="129">
        <v>221794</v>
      </c>
      <c r="B241" s="211">
        <v>42531</v>
      </c>
      <c r="C241" s="193" t="s">
        <v>942</v>
      </c>
      <c r="D241" s="194">
        <v>98976</v>
      </c>
      <c r="E241" s="146"/>
      <c r="F241" s="146"/>
      <c r="G241" s="198"/>
      <c r="H241" s="19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</row>
    <row r="242" spans="1:23" ht="15" x14ac:dyDescent="0.4">
      <c r="A242" s="129">
        <v>222237</v>
      </c>
      <c r="B242" s="211">
        <v>42531</v>
      </c>
      <c r="C242" s="193" t="s">
        <v>943</v>
      </c>
      <c r="D242" s="194">
        <v>85882</v>
      </c>
      <c r="E242" s="146"/>
      <c r="F242" s="146"/>
      <c r="G242" s="198"/>
      <c r="H242" s="19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</row>
    <row r="243" spans="1:23" ht="15" x14ac:dyDescent="0.4">
      <c r="A243" s="129">
        <v>512795</v>
      </c>
      <c r="B243" s="211">
        <v>42531</v>
      </c>
      <c r="C243" s="193" t="s">
        <v>944</v>
      </c>
      <c r="D243" s="194">
        <v>55932</v>
      </c>
      <c r="E243" s="146"/>
      <c r="F243" s="146"/>
      <c r="G243" s="198"/>
      <c r="H243" s="19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</row>
    <row r="244" spans="1:23" ht="15" x14ac:dyDescent="0.4">
      <c r="A244" s="129">
        <v>513514</v>
      </c>
      <c r="B244" s="211">
        <v>42531</v>
      </c>
      <c r="C244" s="193" t="s">
        <v>945</v>
      </c>
      <c r="D244" s="194">
        <v>87135</v>
      </c>
      <c r="E244" s="146"/>
      <c r="F244" s="146"/>
      <c r="G244" s="198"/>
      <c r="H244" s="19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</row>
    <row r="245" spans="1:23" ht="15" x14ac:dyDescent="0.4">
      <c r="A245" s="129">
        <v>514856</v>
      </c>
      <c r="B245" s="211">
        <v>42531</v>
      </c>
      <c r="C245" s="193" t="s">
        <v>946</v>
      </c>
      <c r="D245" s="194">
        <v>65950</v>
      </c>
      <c r="E245" s="146"/>
      <c r="F245" s="146"/>
      <c r="G245" s="198"/>
      <c r="H245" s="19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</row>
    <row r="246" spans="1:23" ht="15" x14ac:dyDescent="0.4">
      <c r="A246" s="129">
        <v>515451</v>
      </c>
      <c r="B246" s="211">
        <v>42531</v>
      </c>
      <c r="C246" s="193" t="s">
        <v>947</v>
      </c>
      <c r="D246" s="194">
        <v>66829</v>
      </c>
      <c r="E246" s="146"/>
      <c r="F246" s="146"/>
      <c r="G246" s="198"/>
      <c r="H246" s="19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</row>
    <row r="247" spans="1:23" ht="15" x14ac:dyDescent="0.4">
      <c r="A247" s="129">
        <v>515932</v>
      </c>
      <c r="B247" s="211">
        <v>42531</v>
      </c>
      <c r="C247" s="193" t="s">
        <v>948</v>
      </c>
      <c r="D247" s="194">
        <v>50214</v>
      </c>
      <c r="E247" s="146"/>
      <c r="F247" s="146"/>
      <c r="G247" s="198"/>
      <c r="H247" s="19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</row>
    <row r="248" spans="1:23" ht="15" x14ac:dyDescent="0.4">
      <c r="A248" s="129">
        <v>516176</v>
      </c>
      <c r="B248" s="211">
        <v>42531</v>
      </c>
      <c r="C248" s="193" t="s">
        <v>949</v>
      </c>
      <c r="D248" s="194">
        <v>23026</v>
      </c>
      <c r="E248" s="146"/>
      <c r="F248" s="146"/>
      <c r="G248" s="198"/>
      <c r="H248" s="19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</row>
    <row r="249" spans="1:23" ht="15" x14ac:dyDescent="0.4">
      <c r="A249" s="129">
        <v>516201</v>
      </c>
      <c r="B249" s="211">
        <v>42531</v>
      </c>
      <c r="C249" s="193" t="s">
        <v>950</v>
      </c>
      <c r="D249" s="194">
        <v>84540</v>
      </c>
      <c r="E249" s="146"/>
      <c r="F249" s="146"/>
      <c r="G249" s="198"/>
      <c r="H249" s="19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</row>
    <row r="250" spans="1:23" ht="15" x14ac:dyDescent="0.4">
      <c r="A250" s="129">
        <v>516714</v>
      </c>
      <c r="B250" s="211">
        <v>42531</v>
      </c>
      <c r="C250" s="193" t="s">
        <v>951</v>
      </c>
      <c r="D250" s="194">
        <v>94486</v>
      </c>
      <c r="E250" s="146"/>
      <c r="F250" s="146"/>
      <c r="G250" s="198"/>
      <c r="H250" s="19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</row>
    <row r="251" spans="1:23" ht="15" x14ac:dyDescent="0.4">
      <c r="A251" s="129">
        <v>517819</v>
      </c>
      <c r="B251" s="211">
        <v>42531</v>
      </c>
      <c r="C251" s="193" t="s">
        <v>952</v>
      </c>
      <c r="D251" s="194">
        <v>93599</v>
      </c>
      <c r="E251" s="146"/>
      <c r="F251" s="146"/>
      <c r="G251" s="198"/>
      <c r="H251" s="19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</row>
    <row r="252" spans="1:23" ht="15" x14ac:dyDescent="0.4">
      <c r="A252" s="129">
        <v>518694</v>
      </c>
      <c r="B252" s="211">
        <v>42531</v>
      </c>
      <c r="C252" s="193" t="s">
        <v>953</v>
      </c>
      <c r="D252" s="194">
        <v>50065</v>
      </c>
      <c r="E252" s="146"/>
      <c r="F252" s="146"/>
      <c r="G252" s="198"/>
      <c r="H252" s="19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</row>
    <row r="253" spans="1:23" ht="15" x14ac:dyDescent="0.4">
      <c r="A253" s="129">
        <v>519177</v>
      </c>
      <c r="B253" s="211">
        <v>42531</v>
      </c>
      <c r="C253" s="193" t="s">
        <v>954</v>
      </c>
      <c r="D253" s="194">
        <v>83088</v>
      </c>
      <c r="E253" s="146"/>
      <c r="F253" s="146"/>
      <c r="G253" s="198"/>
      <c r="H253" s="19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</row>
    <row r="254" spans="1:23" ht="15" x14ac:dyDescent="0.4">
      <c r="A254" s="129">
        <v>530877</v>
      </c>
      <c r="B254" s="211">
        <v>42531</v>
      </c>
      <c r="C254" s="193" t="s">
        <v>955</v>
      </c>
      <c r="D254" s="194">
        <v>39569</v>
      </c>
      <c r="E254" s="146"/>
      <c r="F254" s="146"/>
      <c r="G254" s="198"/>
      <c r="H254" s="19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</row>
    <row r="255" spans="1:23" ht="15" x14ac:dyDescent="0.4">
      <c r="A255" s="129">
        <v>218140</v>
      </c>
      <c r="B255" s="211">
        <v>42532</v>
      </c>
      <c r="C255" s="193" t="s">
        <v>956</v>
      </c>
      <c r="D255" s="194">
        <v>59709</v>
      </c>
      <c r="E255" s="146"/>
      <c r="F255" s="146"/>
      <c r="G255" s="198"/>
      <c r="H255" s="19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</row>
    <row r="256" spans="1:23" ht="15" x14ac:dyDescent="0.4">
      <c r="A256" s="129">
        <v>218869</v>
      </c>
      <c r="B256" s="211">
        <v>42532</v>
      </c>
      <c r="C256" s="193" t="s">
        <v>957</v>
      </c>
      <c r="D256" s="194">
        <v>40343</v>
      </c>
      <c r="E256" s="146"/>
      <c r="F256" s="146"/>
      <c r="G256" s="198"/>
      <c r="H256" s="19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</row>
    <row r="257" spans="1:23" ht="15" x14ac:dyDescent="0.4">
      <c r="A257" s="129">
        <v>219206</v>
      </c>
      <c r="B257" s="211">
        <v>42532</v>
      </c>
      <c r="C257" s="193" t="s">
        <v>958</v>
      </c>
      <c r="D257" s="194">
        <v>18109</v>
      </c>
      <c r="E257" s="146"/>
      <c r="F257" s="146"/>
      <c r="G257" s="198"/>
      <c r="H257" s="19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</row>
    <row r="258" spans="1:23" ht="15" x14ac:dyDescent="0.4">
      <c r="A258" s="129">
        <v>219513</v>
      </c>
      <c r="B258" s="211">
        <v>42532</v>
      </c>
      <c r="C258" s="193" t="s">
        <v>959</v>
      </c>
      <c r="D258" s="194">
        <v>14872</v>
      </c>
      <c r="E258" s="146"/>
      <c r="F258" s="146"/>
      <c r="G258" s="198"/>
      <c r="H258" s="19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</row>
    <row r="259" spans="1:23" ht="15" x14ac:dyDescent="0.4">
      <c r="A259" s="129">
        <v>222024</v>
      </c>
      <c r="B259" s="211">
        <v>42532</v>
      </c>
      <c r="C259" s="193" t="s">
        <v>960</v>
      </c>
      <c r="D259" s="194">
        <v>38120</v>
      </c>
      <c r="E259" s="146"/>
      <c r="F259" s="146"/>
      <c r="G259" s="198"/>
      <c r="H259" s="19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</row>
    <row r="260" spans="1:23" ht="15" x14ac:dyDescent="0.4">
      <c r="A260" s="129">
        <v>511818</v>
      </c>
      <c r="B260" s="211">
        <v>42532</v>
      </c>
      <c r="C260" s="193" t="s">
        <v>961</v>
      </c>
      <c r="D260" s="194">
        <v>45714</v>
      </c>
      <c r="E260" s="146"/>
      <c r="F260" s="146"/>
      <c r="G260" s="198"/>
      <c r="H260" s="19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</row>
    <row r="261" spans="1:23" ht="15" x14ac:dyDescent="0.4">
      <c r="A261" s="129">
        <v>514782</v>
      </c>
      <c r="B261" s="211">
        <v>42532</v>
      </c>
      <c r="C261" s="193" t="s">
        <v>962</v>
      </c>
      <c r="D261" s="194">
        <v>77097</v>
      </c>
      <c r="E261" s="146"/>
      <c r="F261" s="146"/>
      <c r="G261" s="198"/>
      <c r="H261" s="19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</row>
    <row r="262" spans="1:23" ht="15" x14ac:dyDescent="0.4">
      <c r="A262" s="129">
        <v>514852</v>
      </c>
      <c r="B262" s="211">
        <v>42532</v>
      </c>
      <c r="C262" s="193" t="s">
        <v>963</v>
      </c>
      <c r="D262" s="194">
        <v>25411</v>
      </c>
      <c r="E262" s="146"/>
      <c r="F262" s="146"/>
      <c r="G262" s="198"/>
      <c r="H262" s="19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</row>
    <row r="263" spans="1:23" ht="15" x14ac:dyDescent="0.4">
      <c r="A263" s="129">
        <v>515224</v>
      </c>
      <c r="B263" s="211">
        <v>42532</v>
      </c>
      <c r="C263" s="193" t="s">
        <v>964</v>
      </c>
      <c r="D263" s="194">
        <v>38976</v>
      </c>
      <c r="E263" s="146"/>
      <c r="F263" s="146"/>
      <c r="G263" s="198"/>
      <c r="H263" s="19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</row>
    <row r="264" spans="1:23" ht="15" x14ac:dyDescent="0.4">
      <c r="A264" s="129">
        <v>515842</v>
      </c>
      <c r="B264" s="211">
        <v>42532</v>
      </c>
      <c r="C264" s="193" t="s">
        <v>965</v>
      </c>
      <c r="D264" s="194">
        <v>75001</v>
      </c>
      <c r="E264" s="146"/>
      <c r="F264" s="146"/>
      <c r="G264" s="198"/>
      <c r="H264" s="19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</row>
    <row r="265" spans="1:23" ht="15" x14ac:dyDescent="0.4">
      <c r="A265" s="129">
        <v>516255</v>
      </c>
      <c r="B265" s="211">
        <v>42532</v>
      </c>
      <c r="C265" s="193" t="s">
        <v>966</v>
      </c>
      <c r="D265" s="194">
        <v>89554</v>
      </c>
      <c r="E265" s="146"/>
      <c r="F265" s="146"/>
      <c r="G265" s="198"/>
      <c r="H265" s="19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</row>
    <row r="266" spans="1:23" ht="15" x14ac:dyDescent="0.4">
      <c r="A266" s="129">
        <v>516275</v>
      </c>
      <c r="B266" s="211">
        <v>42532</v>
      </c>
      <c r="C266" s="193" t="s">
        <v>967</v>
      </c>
      <c r="D266" s="194">
        <v>25247</v>
      </c>
      <c r="E266" s="146"/>
      <c r="F266" s="146"/>
      <c r="G266" s="198"/>
      <c r="H266" s="19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</row>
    <row r="267" spans="1:23" ht="15" x14ac:dyDescent="0.4">
      <c r="A267" s="129">
        <v>516280</v>
      </c>
      <c r="B267" s="211">
        <v>42532</v>
      </c>
      <c r="C267" s="193" t="s">
        <v>968</v>
      </c>
      <c r="D267" s="194">
        <v>22581</v>
      </c>
      <c r="E267" s="146"/>
      <c r="F267" s="146"/>
      <c r="G267" s="198"/>
      <c r="H267" s="19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</row>
    <row r="268" spans="1:23" ht="15" x14ac:dyDescent="0.4">
      <c r="A268" s="129">
        <v>516297</v>
      </c>
      <c r="B268" s="211">
        <v>42532</v>
      </c>
      <c r="C268" s="193" t="s">
        <v>969</v>
      </c>
      <c r="D268" s="194">
        <v>12854</v>
      </c>
      <c r="E268" s="146"/>
      <c r="F268" s="146"/>
      <c r="G268" s="198"/>
      <c r="H268" s="19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</row>
    <row r="269" spans="1:23" ht="15" x14ac:dyDescent="0.4">
      <c r="A269" s="129">
        <v>518624</v>
      </c>
      <c r="B269" s="211">
        <v>42532</v>
      </c>
      <c r="C269" s="193" t="s">
        <v>970</v>
      </c>
      <c r="D269" s="194">
        <v>58282</v>
      </c>
      <c r="E269" s="146"/>
      <c r="F269" s="146"/>
      <c r="G269" s="198"/>
      <c r="H269" s="19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</row>
    <row r="270" spans="1:23" ht="15" x14ac:dyDescent="0.4">
      <c r="A270" s="129">
        <v>518669</v>
      </c>
      <c r="B270" s="211">
        <v>42532</v>
      </c>
      <c r="C270" s="193" t="s">
        <v>971</v>
      </c>
      <c r="D270" s="194">
        <v>84826</v>
      </c>
      <c r="E270" s="146"/>
      <c r="F270" s="146"/>
      <c r="G270" s="198"/>
      <c r="H270" s="19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</row>
    <row r="271" spans="1:23" ht="15" x14ac:dyDescent="0.4">
      <c r="A271" s="129">
        <v>519200</v>
      </c>
      <c r="B271" s="211">
        <v>42532</v>
      </c>
      <c r="C271" s="193" t="s">
        <v>972</v>
      </c>
      <c r="D271" s="194">
        <v>71971</v>
      </c>
      <c r="E271" s="146"/>
      <c r="F271" s="146"/>
      <c r="G271" s="198"/>
      <c r="H271" s="19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</row>
    <row r="272" spans="1:23" ht="15" x14ac:dyDescent="0.4">
      <c r="A272" s="129">
        <v>519424</v>
      </c>
      <c r="B272" s="211">
        <v>42532</v>
      </c>
      <c r="C272" s="193" t="s">
        <v>973</v>
      </c>
      <c r="D272" s="194">
        <v>72134</v>
      </c>
      <c r="E272" s="146"/>
      <c r="F272" s="146"/>
      <c r="G272" s="198"/>
      <c r="H272" s="19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</row>
    <row r="273" spans="1:23" ht="15" x14ac:dyDescent="0.4">
      <c r="A273" s="129">
        <v>519707</v>
      </c>
      <c r="B273" s="211">
        <v>42532</v>
      </c>
      <c r="C273" s="193" t="s">
        <v>789</v>
      </c>
      <c r="D273" s="194">
        <v>88108</v>
      </c>
      <c r="E273" s="146"/>
      <c r="F273" s="146"/>
      <c r="G273" s="198"/>
      <c r="H273" s="19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</row>
    <row r="274" spans="1:23" ht="15" x14ac:dyDescent="0.4">
      <c r="A274" s="129">
        <v>519969</v>
      </c>
      <c r="B274" s="211">
        <v>42532</v>
      </c>
      <c r="C274" s="193" t="s">
        <v>974</v>
      </c>
      <c r="D274" s="194">
        <v>34556</v>
      </c>
      <c r="E274" s="146"/>
      <c r="F274" s="146"/>
      <c r="G274" s="198"/>
      <c r="H274" s="19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</row>
    <row r="275" spans="1:23" ht="15" x14ac:dyDescent="0.4">
      <c r="A275" s="129">
        <v>520911</v>
      </c>
      <c r="B275" s="211">
        <v>42532</v>
      </c>
      <c r="C275" s="193" t="s">
        <v>975</v>
      </c>
      <c r="D275" s="194">
        <v>33732</v>
      </c>
      <c r="E275" s="146"/>
      <c r="F275" s="146"/>
      <c r="G275" s="198"/>
      <c r="H275" s="19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</row>
    <row r="276" spans="1:23" ht="15" x14ac:dyDescent="0.4">
      <c r="A276" s="129">
        <v>521527</v>
      </c>
      <c r="B276" s="211">
        <v>42532</v>
      </c>
      <c r="C276" s="193" t="s">
        <v>976</v>
      </c>
      <c r="D276" s="194">
        <v>12757</v>
      </c>
      <c r="E276" s="146"/>
      <c r="F276" s="146"/>
      <c r="G276" s="198"/>
      <c r="H276" s="19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</row>
    <row r="277" spans="1:23" ht="15" x14ac:dyDescent="0.4">
      <c r="A277" s="129">
        <v>521860</v>
      </c>
      <c r="B277" s="211">
        <v>42532</v>
      </c>
      <c r="C277" s="193" t="s">
        <v>977</v>
      </c>
      <c r="D277" s="194">
        <v>99451</v>
      </c>
      <c r="E277" s="146"/>
      <c r="F277" s="146"/>
      <c r="G277" s="198"/>
      <c r="H277" s="19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</row>
    <row r="278" spans="1:23" ht="15" x14ac:dyDescent="0.4">
      <c r="A278" s="129">
        <v>521949</v>
      </c>
      <c r="B278" s="211">
        <v>42532</v>
      </c>
      <c r="C278" s="193" t="s">
        <v>978</v>
      </c>
      <c r="D278" s="194">
        <v>91807</v>
      </c>
      <c r="E278" s="146"/>
      <c r="F278" s="146"/>
      <c r="G278" s="198"/>
      <c r="H278" s="19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</row>
    <row r="279" spans="1:23" ht="15" x14ac:dyDescent="0.4">
      <c r="A279" s="129">
        <v>521979</v>
      </c>
      <c r="B279" s="211">
        <v>42532</v>
      </c>
      <c r="C279" s="193" t="s">
        <v>979</v>
      </c>
      <c r="D279" s="194">
        <v>19062</v>
      </c>
      <c r="E279" s="146"/>
      <c r="F279" s="146"/>
      <c r="G279" s="198"/>
      <c r="H279" s="19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</row>
    <row r="280" spans="1:23" ht="15" x14ac:dyDescent="0.4">
      <c r="A280" s="129">
        <v>522070</v>
      </c>
      <c r="B280" s="211">
        <v>42532</v>
      </c>
      <c r="C280" s="193" t="s">
        <v>980</v>
      </c>
      <c r="D280" s="194">
        <v>52650</v>
      </c>
      <c r="E280" s="146"/>
      <c r="F280" s="146"/>
      <c r="G280" s="198"/>
      <c r="H280" s="19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</row>
    <row r="281" spans="1:23" ht="15" x14ac:dyDescent="0.4">
      <c r="A281" s="129">
        <v>522292</v>
      </c>
      <c r="B281" s="211">
        <v>42532</v>
      </c>
      <c r="C281" s="193" t="s">
        <v>981</v>
      </c>
      <c r="D281" s="194">
        <v>95627</v>
      </c>
      <c r="E281" s="146"/>
      <c r="F281" s="146"/>
      <c r="G281" s="198"/>
      <c r="H281" s="19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</row>
    <row r="282" spans="1:23" ht="15" x14ac:dyDescent="0.4">
      <c r="A282" s="129">
        <v>529150</v>
      </c>
      <c r="B282" s="211">
        <v>42532</v>
      </c>
      <c r="C282" s="193" t="s">
        <v>982</v>
      </c>
      <c r="D282" s="194">
        <v>80283</v>
      </c>
      <c r="E282" s="146"/>
      <c r="F282" s="146"/>
      <c r="G282" s="198"/>
      <c r="H282" s="19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</row>
    <row r="283" spans="1:23" ht="15" x14ac:dyDescent="0.4">
      <c r="A283" s="129">
        <v>529682</v>
      </c>
      <c r="B283" s="211">
        <v>42532</v>
      </c>
      <c r="C283" s="193" t="s">
        <v>983</v>
      </c>
      <c r="D283" s="194">
        <v>12485</v>
      </c>
      <c r="E283" s="146"/>
      <c r="F283" s="146"/>
      <c r="G283" s="198"/>
      <c r="H283" s="19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</row>
    <row r="284" spans="1:23" ht="15" x14ac:dyDescent="0.4">
      <c r="A284" s="129">
        <v>530281</v>
      </c>
      <c r="B284" s="211">
        <v>42532</v>
      </c>
      <c r="C284" s="193" t="s">
        <v>984</v>
      </c>
      <c r="D284" s="194">
        <v>72707</v>
      </c>
      <c r="E284" s="146"/>
      <c r="F284" s="146"/>
      <c r="G284" s="198"/>
      <c r="H284" s="19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</row>
    <row r="285" spans="1:23" ht="15" x14ac:dyDescent="0.4">
      <c r="A285" s="129">
        <v>530284</v>
      </c>
      <c r="B285" s="211">
        <v>42532</v>
      </c>
      <c r="C285" s="193" t="s">
        <v>985</v>
      </c>
      <c r="D285" s="194">
        <v>79882</v>
      </c>
      <c r="E285" s="146"/>
      <c r="F285" s="146"/>
      <c r="G285" s="198"/>
      <c r="H285" s="19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</row>
    <row r="286" spans="1:23" ht="15" x14ac:dyDescent="0.4">
      <c r="A286" s="129">
        <v>530757</v>
      </c>
      <c r="B286" s="211">
        <v>42532</v>
      </c>
      <c r="C286" s="193" t="s">
        <v>986</v>
      </c>
      <c r="D286" s="194">
        <v>88777</v>
      </c>
      <c r="E286" s="146"/>
      <c r="F286" s="146"/>
      <c r="G286" s="198"/>
      <c r="H286" s="19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</row>
    <row r="287" spans="1:23" ht="15" x14ac:dyDescent="0.4">
      <c r="A287" s="129">
        <v>531065</v>
      </c>
      <c r="B287" s="211">
        <v>42532</v>
      </c>
      <c r="C287" s="193" t="s">
        <v>987</v>
      </c>
      <c r="D287" s="194">
        <v>76286</v>
      </c>
      <c r="E287" s="146"/>
      <c r="F287" s="146"/>
      <c r="G287" s="198"/>
      <c r="H287" s="19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</row>
    <row r="288" spans="1:23" ht="15" x14ac:dyDescent="0.4">
      <c r="A288" s="129">
        <v>531968</v>
      </c>
      <c r="B288" s="211">
        <v>42532</v>
      </c>
      <c r="C288" s="193" t="s">
        <v>988</v>
      </c>
      <c r="D288" s="194">
        <v>83911</v>
      </c>
      <c r="E288" s="146"/>
      <c r="F288" s="146"/>
      <c r="G288" s="198"/>
      <c r="H288" s="19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</row>
    <row r="289" spans="1:23" ht="15" x14ac:dyDescent="0.4">
      <c r="A289" s="129">
        <v>213324</v>
      </c>
      <c r="B289" s="211">
        <v>42533</v>
      </c>
      <c r="C289" s="193" t="s">
        <v>989</v>
      </c>
      <c r="D289" s="194">
        <v>23281</v>
      </c>
      <c r="E289" s="146"/>
      <c r="F289" s="146"/>
      <c r="G289" s="198"/>
      <c r="H289" s="19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</row>
    <row r="290" spans="1:23" ht="15" x14ac:dyDescent="0.4">
      <c r="A290" s="129">
        <v>216377</v>
      </c>
      <c r="B290" s="211">
        <v>42533</v>
      </c>
      <c r="C290" s="193" t="s">
        <v>990</v>
      </c>
      <c r="D290" s="194">
        <v>76273</v>
      </c>
      <c r="E290" s="146"/>
      <c r="F290" s="146"/>
      <c r="G290" s="198"/>
      <c r="H290" s="19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</row>
    <row r="291" spans="1:23" ht="15" x14ac:dyDescent="0.4">
      <c r="A291" s="129">
        <v>217569</v>
      </c>
      <c r="B291" s="211">
        <v>42533</v>
      </c>
      <c r="C291" s="193" t="s">
        <v>991</v>
      </c>
      <c r="D291" s="194">
        <v>21426</v>
      </c>
      <c r="E291" s="146"/>
      <c r="F291" s="146"/>
      <c r="G291" s="198"/>
      <c r="H291" s="19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</row>
    <row r="292" spans="1:23" ht="15" x14ac:dyDescent="0.4">
      <c r="A292" s="129">
        <v>218099</v>
      </c>
      <c r="B292" s="211">
        <v>42533</v>
      </c>
      <c r="C292" s="193" t="s">
        <v>992</v>
      </c>
      <c r="D292" s="194">
        <v>99832</v>
      </c>
      <c r="E292" s="146"/>
      <c r="F292" s="146"/>
      <c r="G292" s="198"/>
      <c r="H292" s="19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</row>
    <row r="293" spans="1:23" ht="15" x14ac:dyDescent="0.4">
      <c r="A293" s="129">
        <v>220101</v>
      </c>
      <c r="B293" s="211">
        <v>42533</v>
      </c>
      <c r="C293" s="193" t="s">
        <v>993</v>
      </c>
      <c r="D293" s="194">
        <v>42957</v>
      </c>
      <c r="E293" s="146"/>
      <c r="F293" s="146"/>
      <c r="G293" s="198"/>
      <c r="H293" s="19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</row>
    <row r="294" spans="1:23" ht="15" x14ac:dyDescent="0.4">
      <c r="A294" s="129">
        <v>221685</v>
      </c>
      <c r="B294" s="211">
        <v>42533</v>
      </c>
      <c r="C294" s="193" t="s">
        <v>994</v>
      </c>
      <c r="D294" s="194">
        <v>40145</v>
      </c>
      <c r="E294" s="146"/>
      <c r="F294" s="146"/>
      <c r="G294" s="198"/>
      <c r="H294" s="19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</row>
    <row r="295" spans="1:23" ht="15" x14ac:dyDescent="0.4">
      <c r="A295" s="129">
        <v>515232</v>
      </c>
      <c r="B295" s="211">
        <v>42533</v>
      </c>
      <c r="C295" s="193" t="s">
        <v>995</v>
      </c>
      <c r="D295" s="194">
        <v>83700</v>
      </c>
      <c r="E295" s="146"/>
      <c r="F295" s="146"/>
      <c r="G295" s="198"/>
      <c r="H295" s="19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</row>
    <row r="296" spans="1:23" ht="15" x14ac:dyDescent="0.4">
      <c r="A296" s="129">
        <v>515516</v>
      </c>
      <c r="B296" s="211">
        <v>42533</v>
      </c>
      <c r="C296" s="193" t="s">
        <v>996</v>
      </c>
      <c r="D296" s="194">
        <v>81782</v>
      </c>
      <c r="E296" s="146"/>
      <c r="F296" s="146"/>
      <c r="G296" s="198"/>
      <c r="H296" s="19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</row>
    <row r="297" spans="1:23" ht="15" x14ac:dyDescent="0.4">
      <c r="A297" s="129">
        <v>515592</v>
      </c>
      <c r="B297" s="211">
        <v>42533</v>
      </c>
      <c r="C297" s="193" t="s">
        <v>997</v>
      </c>
      <c r="D297" s="194">
        <v>81139</v>
      </c>
      <c r="E297" s="146"/>
      <c r="F297" s="146"/>
      <c r="G297" s="198"/>
      <c r="H297" s="19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</row>
    <row r="298" spans="1:23" ht="15" x14ac:dyDescent="0.4">
      <c r="A298" s="129">
        <v>515603</v>
      </c>
      <c r="B298" s="211">
        <v>42533</v>
      </c>
      <c r="C298" s="193" t="s">
        <v>998</v>
      </c>
      <c r="D298" s="194">
        <v>18248</v>
      </c>
      <c r="E298" s="146"/>
      <c r="F298" s="146"/>
      <c r="G298" s="198"/>
      <c r="H298" s="19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</row>
    <row r="299" spans="1:23" ht="15" x14ac:dyDescent="0.4">
      <c r="A299" s="129">
        <v>516266</v>
      </c>
      <c r="B299" s="211">
        <v>42533</v>
      </c>
      <c r="C299" s="193" t="s">
        <v>999</v>
      </c>
      <c r="D299" s="194">
        <v>90144</v>
      </c>
      <c r="E299" s="146"/>
      <c r="F299" s="146"/>
      <c r="G299" s="198"/>
      <c r="H299" s="19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</row>
    <row r="300" spans="1:23" ht="15" x14ac:dyDescent="0.4">
      <c r="A300" s="129">
        <v>518681</v>
      </c>
      <c r="B300" s="211">
        <v>42533</v>
      </c>
      <c r="C300" s="193" t="s">
        <v>1000</v>
      </c>
      <c r="D300" s="194">
        <v>40077</v>
      </c>
      <c r="E300" s="146"/>
      <c r="F300" s="146"/>
      <c r="G300" s="198"/>
      <c r="H300" s="19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</row>
    <row r="301" spans="1:23" ht="15" x14ac:dyDescent="0.4">
      <c r="A301" s="129">
        <v>518877</v>
      </c>
      <c r="B301" s="211">
        <v>42533</v>
      </c>
      <c r="C301" s="193" t="s">
        <v>1001</v>
      </c>
      <c r="D301" s="194">
        <v>44305</v>
      </c>
      <c r="E301" s="146"/>
      <c r="F301" s="146"/>
      <c r="G301" s="198"/>
      <c r="H301" s="19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</row>
    <row r="302" spans="1:23" ht="15" x14ac:dyDescent="0.4">
      <c r="A302" s="129">
        <v>518914</v>
      </c>
      <c r="B302" s="211">
        <v>42533</v>
      </c>
      <c r="C302" s="193" t="s">
        <v>1002</v>
      </c>
      <c r="D302" s="194">
        <v>33740</v>
      </c>
      <c r="E302" s="146"/>
      <c r="F302" s="146"/>
      <c r="G302" s="198"/>
      <c r="H302" s="19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</row>
    <row r="303" spans="1:23" ht="15" x14ac:dyDescent="0.4">
      <c r="A303" s="129">
        <v>519077</v>
      </c>
      <c r="B303" s="211">
        <v>42533</v>
      </c>
      <c r="C303" s="193" t="s">
        <v>1003</v>
      </c>
      <c r="D303" s="194">
        <v>70032</v>
      </c>
      <c r="E303" s="146"/>
      <c r="F303" s="146"/>
      <c r="G303" s="198"/>
      <c r="H303" s="19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</row>
    <row r="304" spans="1:23" ht="15" x14ac:dyDescent="0.4">
      <c r="A304" s="129">
        <v>520626</v>
      </c>
      <c r="B304" s="211">
        <v>42533</v>
      </c>
      <c r="C304" s="193" t="s">
        <v>1004</v>
      </c>
      <c r="D304" s="194">
        <v>21024</v>
      </c>
      <c r="E304" s="146"/>
      <c r="F304" s="146"/>
      <c r="G304" s="198"/>
      <c r="H304" s="19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</row>
    <row r="305" spans="1:23" ht="15" x14ac:dyDescent="0.4">
      <c r="A305" s="129">
        <v>520932</v>
      </c>
      <c r="B305" s="211">
        <v>42533</v>
      </c>
      <c r="C305" s="193" t="s">
        <v>1005</v>
      </c>
      <c r="D305" s="194">
        <v>52207</v>
      </c>
      <c r="E305" s="146"/>
      <c r="F305" s="146"/>
      <c r="G305" s="198"/>
      <c r="H305" s="19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</row>
    <row r="306" spans="1:23" ht="15" x14ac:dyDescent="0.4">
      <c r="A306" s="129">
        <v>521478</v>
      </c>
      <c r="B306" s="211">
        <v>42533</v>
      </c>
      <c r="C306" s="193" t="s">
        <v>1006</v>
      </c>
      <c r="D306" s="194">
        <v>30901</v>
      </c>
      <c r="E306" s="146"/>
      <c r="F306" s="146"/>
      <c r="G306" s="198"/>
      <c r="H306" s="19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</row>
    <row r="307" spans="1:23" ht="15" x14ac:dyDescent="0.4">
      <c r="A307" s="129">
        <v>528867</v>
      </c>
      <c r="B307" s="211">
        <v>42533</v>
      </c>
      <c r="C307" s="193" t="s">
        <v>1007</v>
      </c>
      <c r="D307" s="194">
        <v>16735</v>
      </c>
      <c r="E307" s="146"/>
      <c r="F307" s="146"/>
      <c r="G307" s="198"/>
      <c r="H307" s="19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</row>
    <row r="308" spans="1:23" ht="15" x14ac:dyDescent="0.4">
      <c r="A308" s="129">
        <v>529281</v>
      </c>
      <c r="B308" s="211">
        <v>42533</v>
      </c>
      <c r="C308" s="193" t="s">
        <v>1008</v>
      </c>
      <c r="D308" s="194">
        <v>12756</v>
      </c>
      <c r="E308" s="146"/>
      <c r="F308" s="146"/>
      <c r="G308" s="198"/>
      <c r="H308" s="19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</row>
    <row r="309" spans="1:23" ht="15" x14ac:dyDescent="0.4">
      <c r="A309" s="129">
        <v>530052</v>
      </c>
      <c r="B309" s="211">
        <v>42533</v>
      </c>
      <c r="C309" s="193" t="s">
        <v>1009</v>
      </c>
      <c r="D309" s="194">
        <v>57469</v>
      </c>
      <c r="E309" s="146"/>
      <c r="F309" s="146"/>
      <c r="G309" s="198"/>
      <c r="H309" s="19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</row>
    <row r="310" spans="1:23" ht="15" x14ac:dyDescent="0.4">
      <c r="A310" s="129">
        <v>530285</v>
      </c>
      <c r="B310" s="211">
        <v>42533</v>
      </c>
      <c r="C310" s="193" t="s">
        <v>1010</v>
      </c>
      <c r="D310" s="194">
        <v>25037</v>
      </c>
      <c r="E310" s="146"/>
      <c r="F310" s="146"/>
      <c r="G310" s="198"/>
      <c r="H310" s="19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</row>
    <row r="311" spans="1:23" ht="15" x14ac:dyDescent="0.4">
      <c r="A311" s="129">
        <v>530288</v>
      </c>
      <c r="B311" s="211">
        <v>42533</v>
      </c>
      <c r="C311" s="193" t="s">
        <v>1011</v>
      </c>
      <c r="D311" s="194">
        <v>45622</v>
      </c>
      <c r="E311" s="146"/>
      <c r="F311" s="146"/>
      <c r="G311" s="198"/>
      <c r="H311" s="19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</row>
    <row r="312" spans="1:23" ht="15" x14ac:dyDescent="0.4">
      <c r="A312" s="129">
        <v>530797</v>
      </c>
      <c r="B312" s="211">
        <v>42533</v>
      </c>
      <c r="C312" s="193" t="s">
        <v>1012</v>
      </c>
      <c r="D312" s="194">
        <v>48269</v>
      </c>
      <c r="E312" s="146"/>
      <c r="F312" s="146"/>
      <c r="G312" s="198"/>
      <c r="H312" s="19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</row>
    <row r="313" spans="1:23" ht="15" x14ac:dyDescent="0.4">
      <c r="A313" s="129">
        <v>531965</v>
      </c>
      <c r="B313" s="211">
        <v>42533</v>
      </c>
      <c r="C313" s="193" t="s">
        <v>1013</v>
      </c>
      <c r="D313" s="194">
        <v>78890</v>
      </c>
      <c r="E313" s="146"/>
      <c r="F313" s="146"/>
      <c r="G313" s="198"/>
      <c r="H313" s="19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</row>
    <row r="314" spans="1:23" ht="15" x14ac:dyDescent="0.4">
      <c r="A314" s="129">
        <v>212850</v>
      </c>
      <c r="B314" s="211">
        <v>42534</v>
      </c>
      <c r="C314" s="193" t="s">
        <v>1014</v>
      </c>
      <c r="D314" s="194">
        <v>64507</v>
      </c>
      <c r="E314" s="146"/>
      <c r="F314" s="146"/>
      <c r="G314" s="198"/>
      <c r="H314" s="19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</row>
    <row r="315" spans="1:23" ht="15" x14ac:dyDescent="0.4">
      <c r="A315" s="129">
        <v>222602</v>
      </c>
      <c r="B315" s="211">
        <v>42534</v>
      </c>
      <c r="C315" s="193" t="s">
        <v>1015</v>
      </c>
      <c r="D315" s="194">
        <v>91804</v>
      </c>
      <c r="E315" s="146"/>
      <c r="F315" s="146"/>
      <c r="G315" s="198"/>
      <c r="H315" s="19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</row>
    <row r="316" spans="1:23" ht="15" x14ac:dyDescent="0.4">
      <c r="A316" s="129">
        <v>512834</v>
      </c>
      <c r="B316" s="211">
        <v>42534</v>
      </c>
      <c r="C316" s="193" t="s">
        <v>1016</v>
      </c>
      <c r="D316" s="194">
        <v>65097</v>
      </c>
      <c r="E316" s="146"/>
      <c r="F316" s="146"/>
      <c r="G316" s="198"/>
      <c r="H316" s="19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</row>
    <row r="317" spans="1:23" ht="15" x14ac:dyDescent="0.4">
      <c r="A317" s="129">
        <v>513446</v>
      </c>
      <c r="B317" s="211">
        <v>42534</v>
      </c>
      <c r="C317" s="193" t="s">
        <v>1017</v>
      </c>
      <c r="D317" s="194">
        <v>19857</v>
      </c>
      <c r="E317" s="146"/>
      <c r="F317" s="146"/>
      <c r="G317" s="198"/>
      <c r="H317" s="19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</row>
    <row r="318" spans="1:23" ht="15" x14ac:dyDescent="0.4">
      <c r="A318" s="129">
        <v>514475</v>
      </c>
      <c r="B318" s="211">
        <v>42534</v>
      </c>
      <c r="C318" s="193" t="s">
        <v>1018</v>
      </c>
      <c r="D318" s="194">
        <v>46213</v>
      </c>
      <c r="E318" s="146"/>
      <c r="F318" s="146"/>
      <c r="G318" s="198"/>
      <c r="H318" s="19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</row>
    <row r="319" spans="1:23" ht="15" x14ac:dyDescent="0.4">
      <c r="A319" s="129">
        <v>514775</v>
      </c>
      <c r="B319" s="211">
        <v>42534</v>
      </c>
      <c r="C319" s="193" t="s">
        <v>1019</v>
      </c>
      <c r="D319" s="194">
        <v>92322</v>
      </c>
      <c r="E319" s="146"/>
      <c r="F319" s="146"/>
      <c r="G319" s="198"/>
      <c r="H319" s="19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</row>
    <row r="320" spans="1:23" ht="15" x14ac:dyDescent="0.4">
      <c r="A320" s="129">
        <v>515252</v>
      </c>
      <c r="B320" s="211">
        <v>42534</v>
      </c>
      <c r="C320" s="193" t="s">
        <v>1020</v>
      </c>
      <c r="D320" s="194">
        <v>47581</v>
      </c>
      <c r="E320" s="146"/>
      <c r="F320" s="146"/>
      <c r="G320" s="198"/>
      <c r="H320" s="19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</row>
    <row r="321" spans="1:23" ht="15" x14ac:dyDescent="0.4">
      <c r="A321" s="129">
        <v>516252</v>
      </c>
      <c r="B321" s="211">
        <v>42534</v>
      </c>
      <c r="C321" s="193" t="s">
        <v>1021</v>
      </c>
      <c r="D321" s="194">
        <v>79650</v>
      </c>
      <c r="E321" s="146"/>
      <c r="F321" s="146"/>
      <c r="G321" s="198"/>
      <c r="H321" s="19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</row>
    <row r="322" spans="1:23" ht="15" x14ac:dyDescent="0.4">
      <c r="A322" s="129">
        <v>516423</v>
      </c>
      <c r="B322" s="211">
        <v>42534</v>
      </c>
      <c r="C322" s="193" t="s">
        <v>1022</v>
      </c>
      <c r="D322" s="194">
        <v>49244</v>
      </c>
      <c r="E322" s="146"/>
      <c r="F322" s="146"/>
      <c r="G322" s="198"/>
      <c r="H322" s="19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</row>
    <row r="323" spans="1:23" ht="15" x14ac:dyDescent="0.4">
      <c r="A323" s="129">
        <v>516610</v>
      </c>
      <c r="B323" s="211">
        <v>42534</v>
      </c>
      <c r="C323" s="193" t="s">
        <v>1023</v>
      </c>
      <c r="D323" s="194">
        <v>26569</v>
      </c>
      <c r="E323" s="146"/>
      <c r="F323" s="146"/>
      <c r="G323" s="198"/>
      <c r="H323" s="19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</row>
    <row r="324" spans="1:23" ht="15" x14ac:dyDescent="0.4">
      <c r="A324" s="129">
        <v>516752</v>
      </c>
      <c r="B324" s="211">
        <v>42534</v>
      </c>
      <c r="C324" s="193" t="s">
        <v>1024</v>
      </c>
      <c r="D324" s="194">
        <v>50349</v>
      </c>
      <c r="E324" s="146"/>
      <c r="F324" s="146"/>
      <c r="G324" s="198"/>
      <c r="H324" s="19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</row>
    <row r="325" spans="1:23" ht="15" x14ac:dyDescent="0.4">
      <c r="A325" s="129">
        <v>516758</v>
      </c>
      <c r="B325" s="211">
        <v>42534</v>
      </c>
      <c r="C325" s="193" t="s">
        <v>1025</v>
      </c>
      <c r="D325" s="194">
        <v>75053</v>
      </c>
      <c r="E325" s="146"/>
      <c r="F325" s="146"/>
      <c r="G325" s="198"/>
      <c r="H325" s="19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</row>
    <row r="326" spans="1:23" ht="15" x14ac:dyDescent="0.4">
      <c r="A326" s="129">
        <v>518079</v>
      </c>
      <c r="B326" s="211">
        <v>42534</v>
      </c>
      <c r="C326" s="193" t="s">
        <v>1026</v>
      </c>
      <c r="D326" s="194">
        <v>64020</v>
      </c>
      <c r="E326" s="146"/>
      <c r="F326" s="146"/>
      <c r="G326" s="198"/>
      <c r="H326" s="19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</row>
    <row r="327" spans="1:23" ht="15" x14ac:dyDescent="0.4">
      <c r="A327" s="129">
        <v>518103</v>
      </c>
      <c r="B327" s="211">
        <v>42534</v>
      </c>
      <c r="C327" s="193" t="s">
        <v>1027</v>
      </c>
      <c r="D327" s="194">
        <v>16348</v>
      </c>
      <c r="E327" s="146"/>
      <c r="F327" s="146"/>
      <c r="G327" s="198"/>
      <c r="H327" s="19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</row>
    <row r="328" spans="1:23" ht="15" x14ac:dyDescent="0.4">
      <c r="A328" s="129">
        <v>518114</v>
      </c>
      <c r="B328" s="211">
        <v>42534</v>
      </c>
      <c r="C328" s="193" t="s">
        <v>1028</v>
      </c>
      <c r="D328" s="194">
        <v>60716</v>
      </c>
      <c r="E328" s="146"/>
      <c r="F328" s="146"/>
      <c r="G328" s="198"/>
      <c r="H328" s="19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</row>
    <row r="329" spans="1:23" ht="15" x14ac:dyDescent="0.4">
      <c r="A329" s="129">
        <v>518133</v>
      </c>
      <c r="B329" s="211">
        <v>42534</v>
      </c>
      <c r="C329" s="193" t="s">
        <v>1029</v>
      </c>
      <c r="D329" s="194">
        <v>33290</v>
      </c>
      <c r="E329" s="146"/>
      <c r="F329" s="146"/>
      <c r="G329" s="198"/>
      <c r="H329" s="19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</row>
    <row r="330" spans="1:23" ht="15" x14ac:dyDescent="0.4">
      <c r="A330" s="129">
        <v>518520</v>
      </c>
      <c r="B330" s="211">
        <v>42534</v>
      </c>
      <c r="C330" s="193" t="s">
        <v>1030</v>
      </c>
      <c r="D330" s="194">
        <v>83479</v>
      </c>
      <c r="E330" s="146"/>
      <c r="F330" s="146"/>
      <c r="G330" s="198"/>
      <c r="H330" s="19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</row>
    <row r="331" spans="1:23" ht="15" x14ac:dyDescent="0.4">
      <c r="A331" s="129">
        <v>519164</v>
      </c>
      <c r="B331" s="211">
        <v>42534</v>
      </c>
      <c r="C331" s="193" t="s">
        <v>1031</v>
      </c>
      <c r="D331" s="194">
        <v>46459</v>
      </c>
      <c r="E331" s="146"/>
      <c r="F331" s="146"/>
      <c r="G331" s="198"/>
      <c r="H331" s="19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</row>
    <row r="332" spans="1:23" ht="15" x14ac:dyDescent="0.4">
      <c r="A332" s="129">
        <v>521046</v>
      </c>
      <c r="B332" s="211">
        <v>42534</v>
      </c>
      <c r="C332" s="193" t="s">
        <v>1032</v>
      </c>
      <c r="D332" s="194">
        <v>89739</v>
      </c>
      <c r="E332" s="146"/>
      <c r="F332" s="146"/>
      <c r="G332" s="198"/>
      <c r="H332" s="19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</row>
    <row r="333" spans="1:23" ht="15" x14ac:dyDescent="0.4">
      <c r="A333" s="129">
        <v>521793</v>
      </c>
      <c r="B333" s="211">
        <v>42534</v>
      </c>
      <c r="C333" s="193" t="s">
        <v>1033</v>
      </c>
      <c r="D333" s="194">
        <v>48768</v>
      </c>
      <c r="E333" s="146"/>
      <c r="F333" s="146"/>
      <c r="G333" s="198"/>
      <c r="H333" s="19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</row>
    <row r="334" spans="1:23" ht="15" x14ac:dyDescent="0.4">
      <c r="A334" s="129">
        <v>521845</v>
      </c>
      <c r="B334" s="211">
        <v>42534</v>
      </c>
      <c r="C334" s="193" t="s">
        <v>1034</v>
      </c>
      <c r="D334" s="194">
        <v>44519</v>
      </c>
      <c r="E334" s="146"/>
      <c r="F334" s="146"/>
      <c r="G334" s="198"/>
      <c r="H334" s="19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</row>
    <row r="335" spans="1:23" ht="15" x14ac:dyDescent="0.4">
      <c r="A335" s="129">
        <v>521895</v>
      </c>
      <c r="B335" s="211">
        <v>42534</v>
      </c>
      <c r="C335" s="193" t="s">
        <v>1035</v>
      </c>
      <c r="D335" s="194">
        <v>60952</v>
      </c>
      <c r="E335" s="146"/>
      <c r="F335" s="146"/>
      <c r="G335" s="198"/>
      <c r="H335" s="19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</row>
    <row r="336" spans="1:23" ht="15" x14ac:dyDescent="0.4">
      <c r="A336" s="129">
        <v>522049</v>
      </c>
      <c r="B336" s="211">
        <v>42534</v>
      </c>
      <c r="C336" s="193" t="s">
        <v>1036</v>
      </c>
      <c r="D336" s="194">
        <v>63207</v>
      </c>
      <c r="E336" s="146"/>
      <c r="F336" s="146"/>
      <c r="G336" s="198"/>
      <c r="H336" s="19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</row>
    <row r="337" spans="1:23" ht="15" x14ac:dyDescent="0.4">
      <c r="A337" s="129">
        <v>528524</v>
      </c>
      <c r="B337" s="211">
        <v>42534</v>
      </c>
      <c r="C337" s="193" t="s">
        <v>1037</v>
      </c>
      <c r="D337" s="194">
        <v>56355</v>
      </c>
      <c r="E337" s="146"/>
      <c r="F337" s="146"/>
      <c r="G337" s="198"/>
      <c r="H337" s="19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</row>
    <row r="338" spans="1:23" ht="15" x14ac:dyDescent="0.4">
      <c r="A338" s="129">
        <v>528546</v>
      </c>
      <c r="B338" s="211">
        <v>42534</v>
      </c>
      <c r="C338" s="193" t="s">
        <v>1038</v>
      </c>
      <c r="D338" s="194">
        <v>75135</v>
      </c>
      <c r="E338" s="146"/>
      <c r="F338" s="146"/>
      <c r="G338" s="198"/>
      <c r="H338" s="19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</row>
    <row r="339" spans="1:23" ht="15" x14ac:dyDescent="0.4">
      <c r="A339" s="129">
        <v>528865</v>
      </c>
      <c r="B339" s="211">
        <v>42534</v>
      </c>
      <c r="C339" s="193" t="s">
        <v>1039</v>
      </c>
      <c r="D339" s="194">
        <v>10408</v>
      </c>
      <c r="E339" s="146"/>
      <c r="F339" s="146"/>
      <c r="G339" s="198"/>
      <c r="H339" s="19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</row>
    <row r="340" spans="1:23" ht="15" x14ac:dyDescent="0.4">
      <c r="A340" s="129">
        <v>528870</v>
      </c>
      <c r="B340" s="211">
        <v>42534</v>
      </c>
      <c r="C340" s="193" t="s">
        <v>1040</v>
      </c>
      <c r="D340" s="194">
        <v>11411</v>
      </c>
      <c r="E340" s="146"/>
      <c r="F340" s="146"/>
      <c r="G340" s="198"/>
      <c r="H340" s="19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</row>
    <row r="341" spans="1:23" ht="15" x14ac:dyDescent="0.4">
      <c r="A341" s="129">
        <v>529284</v>
      </c>
      <c r="B341" s="211">
        <v>42534</v>
      </c>
      <c r="C341" s="193" t="s">
        <v>1041</v>
      </c>
      <c r="D341" s="194">
        <v>93350</v>
      </c>
      <c r="E341" s="146"/>
      <c r="F341" s="146"/>
      <c r="G341" s="198"/>
      <c r="H341" s="19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</row>
    <row r="342" spans="1:23" ht="15" x14ac:dyDescent="0.4">
      <c r="A342" s="129">
        <v>530871</v>
      </c>
      <c r="B342" s="211">
        <v>42534</v>
      </c>
      <c r="C342" s="193" t="s">
        <v>1042</v>
      </c>
      <c r="D342" s="194">
        <v>19661</v>
      </c>
      <c r="E342" s="146"/>
      <c r="F342" s="146"/>
      <c r="G342" s="198"/>
      <c r="H342" s="19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</row>
    <row r="343" spans="1:23" ht="15" x14ac:dyDescent="0.4">
      <c r="A343" s="129">
        <v>531244</v>
      </c>
      <c r="B343" s="211">
        <v>42534</v>
      </c>
      <c r="C343" s="193" t="s">
        <v>1043</v>
      </c>
      <c r="D343" s="194">
        <v>63624</v>
      </c>
      <c r="E343" s="146"/>
      <c r="F343" s="146"/>
      <c r="G343" s="198"/>
      <c r="H343" s="19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</row>
    <row r="344" spans="1:23" ht="15" x14ac:dyDescent="0.4">
      <c r="A344" s="129">
        <v>213459</v>
      </c>
      <c r="B344" s="211">
        <v>42535</v>
      </c>
      <c r="C344" s="193" t="s">
        <v>1044</v>
      </c>
      <c r="D344" s="194">
        <v>54578</v>
      </c>
      <c r="E344" s="146"/>
      <c r="F344" s="146"/>
      <c r="G344" s="198"/>
      <c r="H344" s="19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</row>
    <row r="345" spans="1:23" ht="15" x14ac:dyDescent="0.4">
      <c r="A345" s="129">
        <v>213910</v>
      </c>
      <c r="B345" s="211">
        <v>42535</v>
      </c>
      <c r="C345" s="193" t="s">
        <v>1045</v>
      </c>
      <c r="D345" s="194">
        <v>68157</v>
      </c>
      <c r="E345" s="146"/>
      <c r="F345" s="146"/>
      <c r="G345" s="198"/>
      <c r="H345" s="19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</row>
    <row r="346" spans="1:23" ht="15" x14ac:dyDescent="0.4">
      <c r="A346" s="129">
        <v>217540</v>
      </c>
      <c r="B346" s="211">
        <v>42535</v>
      </c>
      <c r="C346" s="193" t="s">
        <v>1046</v>
      </c>
      <c r="D346" s="194">
        <v>28941</v>
      </c>
      <c r="E346" s="146"/>
      <c r="F346" s="146"/>
      <c r="G346" s="198"/>
      <c r="H346" s="19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</row>
    <row r="347" spans="1:23" ht="15" x14ac:dyDescent="0.4">
      <c r="A347" s="129">
        <v>217867</v>
      </c>
      <c r="B347" s="211">
        <v>42535</v>
      </c>
      <c r="C347" s="193" t="s">
        <v>1047</v>
      </c>
      <c r="D347" s="194">
        <v>28301</v>
      </c>
      <c r="E347" s="146"/>
      <c r="F347" s="146"/>
      <c r="G347" s="198"/>
      <c r="H347" s="19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</row>
    <row r="348" spans="1:23" ht="15" x14ac:dyDescent="0.4">
      <c r="A348" s="129">
        <v>221100</v>
      </c>
      <c r="B348" s="211">
        <v>42535</v>
      </c>
      <c r="C348" s="193" t="s">
        <v>1048</v>
      </c>
      <c r="D348" s="194">
        <v>28014</v>
      </c>
      <c r="E348" s="146"/>
      <c r="F348" s="146"/>
      <c r="G348" s="198"/>
      <c r="H348" s="19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</row>
    <row r="349" spans="1:23" ht="15" x14ac:dyDescent="0.4">
      <c r="A349" s="129">
        <v>221303</v>
      </c>
      <c r="B349" s="211">
        <v>42535</v>
      </c>
      <c r="C349" s="193" t="s">
        <v>1049</v>
      </c>
      <c r="D349" s="194">
        <v>34667</v>
      </c>
      <c r="E349" s="146"/>
      <c r="F349" s="146"/>
      <c r="G349" s="198"/>
      <c r="H349" s="19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</row>
    <row r="350" spans="1:23" ht="15" x14ac:dyDescent="0.4">
      <c r="A350" s="129">
        <v>221404</v>
      </c>
      <c r="B350" s="211">
        <v>42535</v>
      </c>
      <c r="C350" s="193" t="s">
        <v>1050</v>
      </c>
      <c r="D350" s="194">
        <v>15240</v>
      </c>
      <c r="E350" s="146"/>
      <c r="F350" s="146"/>
      <c r="G350" s="198"/>
      <c r="H350" s="19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</row>
    <row r="351" spans="1:23" ht="15" x14ac:dyDescent="0.4">
      <c r="A351" s="129">
        <v>513404</v>
      </c>
      <c r="B351" s="211">
        <v>42535</v>
      </c>
      <c r="C351" s="193" t="s">
        <v>1051</v>
      </c>
      <c r="D351" s="194">
        <v>83435</v>
      </c>
      <c r="E351" s="146"/>
      <c r="F351" s="146"/>
      <c r="G351" s="198"/>
      <c r="H351" s="19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</row>
    <row r="352" spans="1:23" ht="15" x14ac:dyDescent="0.4">
      <c r="A352" s="129">
        <v>514320</v>
      </c>
      <c r="B352" s="211">
        <v>42535</v>
      </c>
      <c r="C352" s="193" t="s">
        <v>1052</v>
      </c>
      <c r="D352" s="194">
        <v>18995</v>
      </c>
      <c r="E352" s="146"/>
      <c r="F352" s="146"/>
      <c r="G352" s="198"/>
      <c r="H352" s="19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</row>
    <row r="353" spans="1:23" ht="15" x14ac:dyDescent="0.4">
      <c r="A353" s="129">
        <v>515636</v>
      </c>
      <c r="B353" s="211">
        <v>42535</v>
      </c>
      <c r="C353" s="193" t="s">
        <v>1053</v>
      </c>
      <c r="D353" s="194">
        <v>11658</v>
      </c>
      <c r="E353" s="146"/>
      <c r="F353" s="146"/>
      <c r="G353" s="198"/>
      <c r="H353" s="19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</row>
    <row r="354" spans="1:23" ht="15" x14ac:dyDescent="0.4">
      <c r="A354" s="129">
        <v>515647</v>
      </c>
      <c r="B354" s="211">
        <v>42535</v>
      </c>
      <c r="C354" s="193" t="s">
        <v>1054</v>
      </c>
      <c r="D354" s="194">
        <v>97057</v>
      </c>
      <c r="E354" s="146"/>
      <c r="F354" s="146"/>
      <c r="G354" s="198"/>
      <c r="H354" s="19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</row>
    <row r="355" spans="1:23" ht="15" x14ac:dyDescent="0.4">
      <c r="A355" s="129">
        <v>515966</v>
      </c>
      <c r="B355" s="211">
        <v>42535</v>
      </c>
      <c r="C355" s="193" t="s">
        <v>1055</v>
      </c>
      <c r="D355" s="194">
        <v>80708</v>
      </c>
      <c r="E355" s="146"/>
      <c r="F355" s="146"/>
      <c r="G355" s="198"/>
      <c r="H355" s="19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</row>
    <row r="356" spans="1:23" ht="15" x14ac:dyDescent="0.4">
      <c r="A356" s="129">
        <v>516712</v>
      </c>
      <c r="B356" s="211">
        <v>42535</v>
      </c>
      <c r="C356" s="193" t="s">
        <v>1056</v>
      </c>
      <c r="D356" s="194">
        <v>83135</v>
      </c>
      <c r="E356" s="146"/>
      <c r="F356" s="146"/>
      <c r="G356" s="198"/>
      <c r="H356" s="19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</row>
    <row r="357" spans="1:23" ht="15" x14ac:dyDescent="0.4">
      <c r="A357" s="129">
        <v>516715</v>
      </c>
      <c r="B357" s="211">
        <v>42535</v>
      </c>
      <c r="C357" s="193" t="s">
        <v>1057</v>
      </c>
      <c r="D357" s="194">
        <v>66308</v>
      </c>
      <c r="E357" s="146"/>
      <c r="F357" s="146"/>
      <c r="G357" s="198"/>
      <c r="H357" s="19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</row>
    <row r="358" spans="1:23" ht="15" x14ac:dyDescent="0.4">
      <c r="A358" s="129">
        <v>516767</v>
      </c>
      <c r="B358" s="211">
        <v>42535</v>
      </c>
      <c r="C358" s="193" t="s">
        <v>1058</v>
      </c>
      <c r="D358" s="194">
        <v>66845</v>
      </c>
      <c r="E358" s="146"/>
      <c r="F358" s="146"/>
      <c r="G358" s="198"/>
      <c r="H358" s="19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</row>
    <row r="359" spans="1:23" ht="15" x14ac:dyDescent="0.4">
      <c r="A359" s="129">
        <v>518060</v>
      </c>
      <c r="B359" s="211">
        <v>42535</v>
      </c>
      <c r="C359" s="193" t="s">
        <v>1059</v>
      </c>
      <c r="D359" s="194">
        <v>43767</v>
      </c>
      <c r="E359" s="146"/>
      <c r="F359" s="146"/>
      <c r="G359" s="198"/>
      <c r="H359" s="19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</row>
    <row r="360" spans="1:23" ht="15" x14ac:dyDescent="0.4">
      <c r="A360" s="129">
        <v>518986</v>
      </c>
      <c r="B360" s="211">
        <v>42535</v>
      </c>
      <c r="C360" s="193" t="s">
        <v>1060</v>
      </c>
      <c r="D360" s="194">
        <v>61832</v>
      </c>
      <c r="E360" s="146"/>
      <c r="F360" s="146"/>
      <c r="G360" s="198"/>
      <c r="H360" s="19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</row>
    <row r="361" spans="1:23" ht="15" x14ac:dyDescent="0.4">
      <c r="A361" s="129">
        <v>519498</v>
      </c>
      <c r="B361" s="211">
        <v>42535</v>
      </c>
      <c r="C361" s="193" t="s">
        <v>1061</v>
      </c>
      <c r="D361" s="194">
        <v>83615</v>
      </c>
      <c r="E361" s="146"/>
      <c r="F361" s="146"/>
      <c r="G361" s="198"/>
      <c r="H361" s="19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</row>
    <row r="362" spans="1:23" ht="15" x14ac:dyDescent="0.4">
      <c r="A362" s="129">
        <v>519742</v>
      </c>
      <c r="B362" s="211">
        <v>42535</v>
      </c>
      <c r="C362" s="193" t="s">
        <v>1062</v>
      </c>
      <c r="D362" s="194">
        <v>59058</v>
      </c>
      <c r="E362" s="146"/>
      <c r="F362" s="146"/>
      <c r="G362" s="198"/>
      <c r="H362" s="19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</row>
    <row r="363" spans="1:23" ht="15" x14ac:dyDescent="0.4">
      <c r="A363" s="129">
        <v>521529</v>
      </c>
      <c r="B363" s="211">
        <v>42535</v>
      </c>
      <c r="C363" s="193" t="s">
        <v>1063</v>
      </c>
      <c r="D363" s="194">
        <v>31035</v>
      </c>
      <c r="E363" s="146"/>
      <c r="F363" s="146"/>
      <c r="G363" s="198"/>
      <c r="H363" s="19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</row>
    <row r="364" spans="1:23" ht="15" x14ac:dyDescent="0.4">
      <c r="A364" s="129">
        <v>521530</v>
      </c>
      <c r="B364" s="211">
        <v>42535</v>
      </c>
      <c r="C364" s="193" t="s">
        <v>1064</v>
      </c>
      <c r="D364" s="194">
        <v>12498</v>
      </c>
      <c r="E364" s="146"/>
      <c r="F364" s="146"/>
      <c r="G364" s="198"/>
      <c r="H364" s="19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</row>
    <row r="365" spans="1:23" ht="15" x14ac:dyDescent="0.4">
      <c r="A365" s="129">
        <v>521789</v>
      </c>
      <c r="B365" s="211">
        <v>42535</v>
      </c>
      <c r="C365" s="193" t="s">
        <v>1065</v>
      </c>
      <c r="D365" s="194">
        <v>63944</v>
      </c>
      <c r="E365" s="146"/>
      <c r="F365" s="146"/>
      <c r="G365" s="198"/>
      <c r="H365" s="19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</row>
    <row r="366" spans="1:23" ht="15" x14ac:dyDescent="0.4">
      <c r="A366" s="129">
        <v>522113</v>
      </c>
      <c r="B366" s="211">
        <v>42535</v>
      </c>
      <c r="C366" s="193" t="s">
        <v>1066</v>
      </c>
      <c r="D366" s="194">
        <v>54322</v>
      </c>
      <c r="E366" s="146"/>
      <c r="F366" s="146"/>
      <c r="G366" s="198"/>
      <c r="H366" s="19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</row>
    <row r="367" spans="1:23" ht="15" x14ac:dyDescent="0.4">
      <c r="A367" s="129">
        <v>529160</v>
      </c>
      <c r="B367" s="211">
        <v>42535</v>
      </c>
      <c r="C367" s="193" t="s">
        <v>1067</v>
      </c>
      <c r="D367" s="194">
        <v>59837</v>
      </c>
      <c r="E367" s="146"/>
      <c r="F367" s="146"/>
      <c r="G367" s="198"/>
      <c r="H367" s="19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</row>
    <row r="368" spans="1:23" ht="15" x14ac:dyDescent="0.4">
      <c r="A368" s="129">
        <v>530882</v>
      </c>
      <c r="B368" s="211">
        <v>42535</v>
      </c>
      <c r="C368" s="193" t="s">
        <v>1068</v>
      </c>
      <c r="D368" s="194">
        <v>87770</v>
      </c>
      <c r="E368" s="146"/>
      <c r="F368" s="146"/>
      <c r="G368" s="198"/>
      <c r="H368" s="19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</row>
    <row r="369" spans="1:23" ht="15" x14ac:dyDescent="0.4">
      <c r="A369" s="129">
        <v>213888</v>
      </c>
      <c r="B369" s="211">
        <v>42536</v>
      </c>
      <c r="C369" s="193" t="s">
        <v>1069</v>
      </c>
      <c r="D369" s="194">
        <v>49371</v>
      </c>
      <c r="E369" s="146"/>
      <c r="F369" s="146"/>
      <c r="G369" s="198"/>
      <c r="H369" s="19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</row>
    <row r="370" spans="1:23" ht="15" x14ac:dyDescent="0.4">
      <c r="A370" s="129">
        <v>219524</v>
      </c>
      <c r="B370" s="211">
        <v>42536</v>
      </c>
      <c r="C370" s="193" t="s">
        <v>1070</v>
      </c>
      <c r="D370" s="194">
        <v>43919</v>
      </c>
      <c r="E370" s="146"/>
      <c r="F370" s="146"/>
      <c r="G370" s="198"/>
      <c r="H370" s="19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</row>
    <row r="371" spans="1:23" ht="15" x14ac:dyDescent="0.4">
      <c r="A371" s="129">
        <v>221215</v>
      </c>
      <c r="B371" s="211">
        <v>42536</v>
      </c>
      <c r="C371" s="193" t="s">
        <v>1071</v>
      </c>
      <c r="D371" s="194">
        <v>56079</v>
      </c>
      <c r="E371" s="146"/>
      <c r="F371" s="146"/>
      <c r="G371" s="198"/>
      <c r="H371" s="19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</row>
    <row r="372" spans="1:23" ht="15" x14ac:dyDescent="0.4">
      <c r="A372" s="129">
        <v>512847</v>
      </c>
      <c r="B372" s="211">
        <v>42536</v>
      </c>
      <c r="C372" s="193" t="s">
        <v>1072</v>
      </c>
      <c r="D372" s="194">
        <v>89172</v>
      </c>
      <c r="E372" s="146"/>
      <c r="F372" s="146"/>
      <c r="G372" s="198"/>
      <c r="H372" s="19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</row>
    <row r="373" spans="1:23" ht="15" x14ac:dyDescent="0.4">
      <c r="A373" s="129">
        <v>514078</v>
      </c>
      <c r="B373" s="211">
        <v>42536</v>
      </c>
      <c r="C373" s="193" t="s">
        <v>1073</v>
      </c>
      <c r="D373" s="194">
        <v>29218</v>
      </c>
      <c r="E373" s="146"/>
      <c r="F373" s="146"/>
      <c r="G373" s="198"/>
      <c r="H373" s="19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</row>
    <row r="374" spans="1:23" ht="15" x14ac:dyDescent="0.4">
      <c r="A374" s="129">
        <v>515233</v>
      </c>
      <c r="B374" s="211">
        <v>42536</v>
      </c>
      <c r="C374" s="193" t="s">
        <v>1074</v>
      </c>
      <c r="D374" s="194">
        <v>96946</v>
      </c>
      <c r="E374" s="146"/>
      <c r="F374" s="146"/>
      <c r="G374" s="198"/>
      <c r="H374" s="19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</row>
    <row r="375" spans="1:23" ht="15" x14ac:dyDescent="0.4">
      <c r="A375" s="129">
        <v>515940</v>
      </c>
      <c r="B375" s="211">
        <v>42536</v>
      </c>
      <c r="C375" s="193" t="s">
        <v>1075</v>
      </c>
      <c r="D375" s="194">
        <v>30040</v>
      </c>
      <c r="E375" s="146"/>
      <c r="F375" s="146"/>
      <c r="G375" s="198"/>
      <c r="H375" s="19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</row>
    <row r="376" spans="1:23" ht="15" x14ac:dyDescent="0.4">
      <c r="A376" s="129">
        <v>516276</v>
      </c>
      <c r="B376" s="211">
        <v>42536</v>
      </c>
      <c r="C376" s="193" t="s">
        <v>1076</v>
      </c>
      <c r="D376" s="194">
        <v>51861</v>
      </c>
      <c r="E376" s="146"/>
      <c r="F376" s="146"/>
      <c r="G376" s="198"/>
      <c r="H376" s="19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</row>
    <row r="377" spans="1:23" ht="15" x14ac:dyDescent="0.4">
      <c r="A377" s="129">
        <v>516282</v>
      </c>
      <c r="B377" s="211">
        <v>42536</v>
      </c>
      <c r="C377" s="193" t="s">
        <v>1077</v>
      </c>
      <c r="D377" s="194">
        <v>26176</v>
      </c>
      <c r="E377" s="146"/>
      <c r="F377" s="146"/>
      <c r="G377" s="198"/>
      <c r="H377" s="19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</row>
    <row r="378" spans="1:23" ht="15" x14ac:dyDescent="0.4">
      <c r="A378" s="129">
        <v>516642</v>
      </c>
      <c r="B378" s="211">
        <v>42536</v>
      </c>
      <c r="C378" s="193" t="s">
        <v>1078</v>
      </c>
      <c r="D378" s="194">
        <v>73090</v>
      </c>
      <c r="E378" s="146"/>
      <c r="F378" s="146"/>
      <c r="G378" s="198"/>
      <c r="H378" s="19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</row>
    <row r="379" spans="1:23" ht="15" x14ac:dyDescent="0.4">
      <c r="A379" s="129">
        <v>516774</v>
      </c>
      <c r="B379" s="211">
        <v>42536</v>
      </c>
      <c r="C379" s="193" t="s">
        <v>1079</v>
      </c>
      <c r="D379" s="194">
        <v>60062</v>
      </c>
      <c r="E379" s="146"/>
      <c r="F379" s="146"/>
      <c r="G379" s="198"/>
      <c r="H379" s="19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</row>
    <row r="380" spans="1:23" ht="15" x14ac:dyDescent="0.4">
      <c r="A380" s="129">
        <v>518099</v>
      </c>
      <c r="B380" s="211">
        <v>42536</v>
      </c>
      <c r="C380" s="193" t="s">
        <v>1080</v>
      </c>
      <c r="D380" s="194">
        <v>19933</v>
      </c>
      <c r="E380" s="146"/>
      <c r="F380" s="146"/>
      <c r="G380" s="198"/>
      <c r="H380" s="19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</row>
    <row r="381" spans="1:23" ht="15" x14ac:dyDescent="0.4">
      <c r="A381" s="129">
        <v>518598</v>
      </c>
      <c r="B381" s="211">
        <v>42536</v>
      </c>
      <c r="C381" s="193" t="s">
        <v>884</v>
      </c>
      <c r="D381" s="194">
        <v>25415</v>
      </c>
      <c r="E381" s="146"/>
      <c r="F381" s="146"/>
      <c r="G381" s="198"/>
      <c r="H381" s="19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</row>
    <row r="382" spans="1:23" ht="15" x14ac:dyDescent="0.4">
      <c r="A382" s="129">
        <v>518674</v>
      </c>
      <c r="B382" s="211">
        <v>42536</v>
      </c>
      <c r="C382" s="193" t="s">
        <v>1081</v>
      </c>
      <c r="D382" s="194">
        <v>11104</v>
      </c>
      <c r="E382" s="146"/>
      <c r="F382" s="146"/>
      <c r="G382" s="198"/>
      <c r="H382" s="19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</row>
    <row r="383" spans="1:23" ht="15" x14ac:dyDescent="0.4">
      <c r="A383" s="129">
        <v>518685</v>
      </c>
      <c r="B383" s="211">
        <v>42536</v>
      </c>
      <c r="C383" s="193" t="s">
        <v>1082</v>
      </c>
      <c r="D383" s="194">
        <v>54089</v>
      </c>
      <c r="E383" s="146"/>
      <c r="F383" s="146"/>
      <c r="G383" s="198"/>
      <c r="H383" s="19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</row>
    <row r="384" spans="1:23" ht="15" x14ac:dyDescent="0.4">
      <c r="A384" s="129">
        <v>519170</v>
      </c>
      <c r="B384" s="211">
        <v>42536</v>
      </c>
      <c r="C384" s="193" t="s">
        <v>1083</v>
      </c>
      <c r="D384" s="194">
        <v>64148</v>
      </c>
      <c r="E384" s="146"/>
      <c r="F384" s="146"/>
      <c r="G384" s="198"/>
      <c r="H384" s="19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</row>
    <row r="385" spans="1:23" ht="15" x14ac:dyDescent="0.4">
      <c r="A385" s="129">
        <v>519431</v>
      </c>
      <c r="B385" s="211">
        <v>42536</v>
      </c>
      <c r="C385" s="193" t="s">
        <v>1084</v>
      </c>
      <c r="D385" s="194">
        <v>94433</v>
      </c>
      <c r="E385" s="146"/>
      <c r="F385" s="146"/>
      <c r="G385" s="198"/>
      <c r="H385" s="19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</row>
    <row r="386" spans="1:23" ht="15" x14ac:dyDescent="0.4">
      <c r="A386" s="129">
        <v>519437</v>
      </c>
      <c r="B386" s="211">
        <v>42536</v>
      </c>
      <c r="C386" s="193" t="s">
        <v>1085</v>
      </c>
      <c r="D386" s="194">
        <v>45639</v>
      </c>
      <c r="E386" s="146"/>
      <c r="F386" s="146"/>
      <c r="G386" s="198"/>
      <c r="H386" s="19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</row>
    <row r="387" spans="1:23" ht="15" x14ac:dyDescent="0.4">
      <c r="A387" s="129">
        <v>519568</v>
      </c>
      <c r="B387" s="211">
        <v>42536</v>
      </c>
      <c r="C387" s="193" t="s">
        <v>1086</v>
      </c>
      <c r="D387" s="194">
        <v>15909</v>
      </c>
      <c r="E387" s="146"/>
      <c r="F387" s="146"/>
      <c r="G387" s="198"/>
      <c r="H387" s="19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</row>
    <row r="388" spans="1:23" ht="15" x14ac:dyDescent="0.4">
      <c r="A388" s="129">
        <v>519747</v>
      </c>
      <c r="B388" s="211">
        <v>42536</v>
      </c>
      <c r="C388" s="193" t="s">
        <v>1087</v>
      </c>
      <c r="D388" s="194">
        <v>96063</v>
      </c>
      <c r="E388" s="146"/>
      <c r="F388" s="146"/>
      <c r="G388" s="198"/>
      <c r="H388" s="19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</row>
    <row r="389" spans="1:23" ht="15" x14ac:dyDescent="0.4">
      <c r="A389" s="129">
        <v>521486</v>
      </c>
      <c r="B389" s="211">
        <v>42536</v>
      </c>
      <c r="C389" s="193" t="s">
        <v>1088</v>
      </c>
      <c r="D389" s="194">
        <v>64824</v>
      </c>
      <c r="E389" s="146"/>
      <c r="F389" s="146"/>
      <c r="G389" s="198"/>
      <c r="H389" s="19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</row>
    <row r="390" spans="1:23" ht="15" x14ac:dyDescent="0.4">
      <c r="A390" s="129">
        <v>521490</v>
      </c>
      <c r="B390" s="211">
        <v>42536</v>
      </c>
      <c r="C390" s="193" t="s">
        <v>1089</v>
      </c>
      <c r="D390" s="194">
        <v>39656</v>
      </c>
      <c r="E390" s="146"/>
      <c r="F390" s="146"/>
      <c r="G390" s="198"/>
      <c r="H390" s="19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</row>
    <row r="391" spans="1:23" ht="15" x14ac:dyDescent="0.4">
      <c r="A391" s="129">
        <v>521517</v>
      </c>
      <c r="B391" s="211">
        <v>42536</v>
      </c>
      <c r="C391" s="193" t="s">
        <v>1090</v>
      </c>
      <c r="D391" s="194">
        <v>54899</v>
      </c>
      <c r="E391" s="146"/>
      <c r="F391" s="146"/>
      <c r="G391" s="198"/>
      <c r="H391" s="19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</row>
    <row r="392" spans="1:23" ht="15" x14ac:dyDescent="0.4">
      <c r="A392" s="129">
        <v>521977</v>
      </c>
      <c r="B392" s="211">
        <v>42536</v>
      </c>
      <c r="C392" s="193" t="s">
        <v>1091</v>
      </c>
      <c r="D392" s="194">
        <v>85659</v>
      </c>
      <c r="E392" s="146"/>
      <c r="F392" s="146"/>
      <c r="G392" s="198"/>
      <c r="H392" s="19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</row>
    <row r="393" spans="1:23" ht="15" x14ac:dyDescent="0.4">
      <c r="A393" s="129">
        <v>529118</v>
      </c>
      <c r="B393" s="211">
        <v>42536</v>
      </c>
      <c r="C393" s="193" t="s">
        <v>1092</v>
      </c>
      <c r="D393" s="194">
        <v>55947</v>
      </c>
      <c r="E393" s="146"/>
      <c r="F393" s="146"/>
      <c r="G393" s="198"/>
      <c r="H393" s="19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</row>
    <row r="394" spans="1:23" ht="15" x14ac:dyDescent="0.4">
      <c r="A394" s="129">
        <v>530287</v>
      </c>
      <c r="B394" s="211">
        <v>42536</v>
      </c>
      <c r="C394" s="193" t="s">
        <v>1093</v>
      </c>
      <c r="D394" s="194">
        <v>45957</v>
      </c>
      <c r="E394" s="146"/>
      <c r="F394" s="146"/>
      <c r="G394" s="198"/>
      <c r="H394" s="19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</row>
    <row r="395" spans="1:23" ht="15" x14ac:dyDescent="0.4">
      <c r="A395" s="129">
        <v>530791</v>
      </c>
      <c r="B395" s="211">
        <v>42536</v>
      </c>
      <c r="C395" s="193" t="s">
        <v>1094</v>
      </c>
      <c r="D395" s="194">
        <v>48278</v>
      </c>
      <c r="E395" s="146"/>
      <c r="F395" s="146"/>
      <c r="G395" s="198"/>
      <c r="H395" s="19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</row>
    <row r="396" spans="1:23" ht="15" x14ac:dyDescent="0.4">
      <c r="A396" s="129">
        <v>530872</v>
      </c>
      <c r="B396" s="211">
        <v>42536</v>
      </c>
      <c r="C396" s="193" t="s">
        <v>1095</v>
      </c>
      <c r="D396" s="194">
        <v>59273</v>
      </c>
      <c r="E396" s="146"/>
      <c r="F396" s="146"/>
      <c r="G396" s="198"/>
      <c r="H396" s="19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</row>
    <row r="397" spans="1:23" ht="15" x14ac:dyDescent="0.4">
      <c r="A397" s="129">
        <v>217578</v>
      </c>
      <c r="B397" s="211">
        <v>42537</v>
      </c>
      <c r="C397" s="193" t="s">
        <v>1096</v>
      </c>
      <c r="D397" s="194">
        <v>20391</v>
      </c>
      <c r="E397" s="146"/>
      <c r="F397" s="146"/>
      <c r="G397" s="198"/>
      <c r="H397" s="19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</row>
    <row r="398" spans="1:23" ht="15" x14ac:dyDescent="0.4">
      <c r="A398" s="129">
        <v>218158</v>
      </c>
      <c r="B398" s="211">
        <v>42537</v>
      </c>
      <c r="C398" s="193" t="s">
        <v>1097</v>
      </c>
      <c r="D398" s="194">
        <v>56740</v>
      </c>
      <c r="E398" s="146"/>
      <c r="F398" s="146"/>
      <c r="G398" s="198"/>
      <c r="H398" s="19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</row>
    <row r="399" spans="1:23" ht="15" x14ac:dyDescent="0.4">
      <c r="A399" s="129">
        <v>218720</v>
      </c>
      <c r="B399" s="211">
        <v>42537</v>
      </c>
      <c r="C399" s="193" t="s">
        <v>1098</v>
      </c>
      <c r="D399" s="194">
        <v>30576</v>
      </c>
      <c r="E399" s="146"/>
      <c r="F399" s="146"/>
      <c r="G399" s="198"/>
      <c r="H399" s="19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</row>
    <row r="400" spans="1:23" ht="15" x14ac:dyDescent="0.4">
      <c r="A400" s="129">
        <v>513458</v>
      </c>
      <c r="B400" s="211">
        <v>42537</v>
      </c>
      <c r="C400" s="193" t="s">
        <v>1099</v>
      </c>
      <c r="D400" s="194">
        <v>82031</v>
      </c>
      <c r="E400" s="146"/>
      <c r="F400" s="146"/>
      <c r="G400" s="198"/>
      <c r="H400" s="19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</row>
    <row r="401" spans="1:23" ht="15" x14ac:dyDescent="0.4">
      <c r="A401" s="129">
        <v>513698</v>
      </c>
      <c r="B401" s="211">
        <v>42537</v>
      </c>
      <c r="C401" s="193" t="s">
        <v>1100</v>
      </c>
      <c r="D401" s="194">
        <v>55111</v>
      </c>
      <c r="E401" s="146"/>
      <c r="F401" s="146"/>
      <c r="G401" s="198"/>
      <c r="H401" s="19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</row>
    <row r="402" spans="1:23" ht="15" x14ac:dyDescent="0.4">
      <c r="A402" s="129">
        <v>515893</v>
      </c>
      <c r="B402" s="211">
        <v>42537</v>
      </c>
      <c r="C402" s="193" t="s">
        <v>1101</v>
      </c>
      <c r="D402" s="194">
        <v>33857</v>
      </c>
      <c r="E402" s="146"/>
      <c r="F402" s="146"/>
      <c r="G402" s="198"/>
      <c r="H402" s="19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</row>
    <row r="403" spans="1:23" ht="15" x14ac:dyDescent="0.4">
      <c r="A403" s="129">
        <v>516269</v>
      </c>
      <c r="B403" s="211">
        <v>42537</v>
      </c>
      <c r="C403" s="193" t="s">
        <v>1102</v>
      </c>
      <c r="D403" s="194">
        <v>68512</v>
      </c>
      <c r="E403" s="146"/>
      <c r="F403" s="146"/>
      <c r="G403" s="198"/>
      <c r="H403" s="19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</row>
    <row r="404" spans="1:23" ht="15" x14ac:dyDescent="0.4">
      <c r="A404" s="129">
        <v>516538</v>
      </c>
      <c r="B404" s="211">
        <v>42537</v>
      </c>
      <c r="C404" s="193" t="s">
        <v>1103</v>
      </c>
      <c r="D404" s="194">
        <v>62046</v>
      </c>
      <c r="E404" s="146"/>
      <c r="F404" s="146"/>
      <c r="G404" s="198"/>
      <c r="H404" s="19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</row>
    <row r="405" spans="1:23" ht="15" x14ac:dyDescent="0.4">
      <c r="A405" s="129">
        <v>517794</v>
      </c>
      <c r="B405" s="211">
        <v>42537</v>
      </c>
      <c r="C405" s="193" t="s">
        <v>1104</v>
      </c>
      <c r="D405" s="194">
        <v>21490</v>
      </c>
      <c r="E405" s="146"/>
      <c r="F405" s="146"/>
      <c r="G405" s="198"/>
      <c r="H405" s="19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</row>
    <row r="406" spans="1:23" ht="15" x14ac:dyDescent="0.4">
      <c r="A406" s="129">
        <v>518096</v>
      </c>
      <c r="B406" s="211">
        <v>42537</v>
      </c>
      <c r="C406" s="193" t="s">
        <v>1105</v>
      </c>
      <c r="D406" s="194">
        <v>90260</v>
      </c>
      <c r="E406" s="146"/>
      <c r="F406" s="146"/>
      <c r="G406" s="198"/>
      <c r="H406" s="19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</row>
    <row r="407" spans="1:23" ht="15" x14ac:dyDescent="0.4">
      <c r="A407" s="129">
        <v>518147</v>
      </c>
      <c r="B407" s="211">
        <v>42537</v>
      </c>
      <c r="C407" s="193" t="s">
        <v>1106</v>
      </c>
      <c r="D407" s="194">
        <v>12430</v>
      </c>
      <c r="E407" s="146"/>
      <c r="F407" s="146"/>
      <c r="G407" s="198"/>
      <c r="H407" s="19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</row>
    <row r="408" spans="1:23" ht="15" x14ac:dyDescent="0.4">
      <c r="A408" s="129">
        <v>518862</v>
      </c>
      <c r="B408" s="211">
        <v>42537</v>
      </c>
      <c r="C408" s="193" t="s">
        <v>1107</v>
      </c>
      <c r="D408" s="194">
        <v>43780</v>
      </c>
      <c r="E408" s="146"/>
      <c r="F408" s="146"/>
      <c r="G408" s="198"/>
      <c r="H408" s="19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</row>
    <row r="409" spans="1:23" ht="15" x14ac:dyDescent="0.4">
      <c r="A409" s="129">
        <v>520318</v>
      </c>
      <c r="B409" s="211">
        <v>42537</v>
      </c>
      <c r="C409" s="193" t="s">
        <v>1108</v>
      </c>
      <c r="D409" s="194">
        <v>97465</v>
      </c>
      <c r="E409" s="146"/>
      <c r="F409" s="146"/>
      <c r="G409" s="198"/>
      <c r="H409" s="19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</row>
    <row r="410" spans="1:23" ht="15" x14ac:dyDescent="0.4">
      <c r="A410" s="129">
        <v>520936</v>
      </c>
      <c r="B410" s="211">
        <v>42537</v>
      </c>
      <c r="C410" s="193" t="s">
        <v>1109</v>
      </c>
      <c r="D410" s="194">
        <v>60581</v>
      </c>
      <c r="E410" s="146"/>
      <c r="F410" s="146"/>
      <c r="G410" s="198"/>
      <c r="H410" s="19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</row>
    <row r="411" spans="1:23" ht="15" x14ac:dyDescent="0.4">
      <c r="A411" s="129">
        <v>521583</v>
      </c>
      <c r="B411" s="211">
        <v>42537</v>
      </c>
      <c r="C411" s="193" t="s">
        <v>1110</v>
      </c>
      <c r="D411" s="194">
        <v>71763</v>
      </c>
      <c r="E411" s="146"/>
      <c r="F411" s="146"/>
      <c r="G411" s="198"/>
      <c r="H411" s="19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</row>
    <row r="412" spans="1:23" ht="15" x14ac:dyDescent="0.4">
      <c r="A412" s="129">
        <v>528549</v>
      </c>
      <c r="B412" s="211">
        <v>42537</v>
      </c>
      <c r="C412" s="193" t="s">
        <v>1111</v>
      </c>
      <c r="D412" s="194">
        <v>25359</v>
      </c>
      <c r="E412" s="146"/>
      <c r="F412" s="146"/>
      <c r="G412" s="198"/>
      <c r="H412" s="19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</row>
    <row r="413" spans="1:23" ht="15" x14ac:dyDescent="0.4">
      <c r="A413" s="129">
        <v>530050</v>
      </c>
      <c r="B413" s="211">
        <v>42537</v>
      </c>
      <c r="C413" s="193" t="s">
        <v>1112</v>
      </c>
      <c r="D413" s="194">
        <v>81818</v>
      </c>
      <c r="E413" s="146"/>
      <c r="F413" s="146"/>
      <c r="G413" s="198"/>
      <c r="H413" s="19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</row>
    <row r="414" spans="1:23" ht="15" x14ac:dyDescent="0.4">
      <c r="A414" s="129">
        <v>530061</v>
      </c>
      <c r="B414" s="211">
        <v>42537</v>
      </c>
      <c r="C414" s="193" t="s">
        <v>1113</v>
      </c>
      <c r="D414" s="194">
        <v>62015</v>
      </c>
      <c r="E414" s="146"/>
      <c r="F414" s="146"/>
      <c r="G414" s="198"/>
      <c r="H414" s="19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</row>
    <row r="415" spans="1:23" ht="15" x14ac:dyDescent="0.4">
      <c r="A415" s="129">
        <v>530163</v>
      </c>
      <c r="B415" s="211">
        <v>42537</v>
      </c>
      <c r="C415" s="193" t="s">
        <v>1114</v>
      </c>
      <c r="D415" s="194">
        <v>97500</v>
      </c>
      <c r="E415" s="146"/>
      <c r="F415" s="146"/>
      <c r="G415" s="198"/>
      <c r="H415" s="19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</row>
    <row r="416" spans="1:23" ht="15" x14ac:dyDescent="0.4">
      <c r="A416" s="129">
        <v>530253</v>
      </c>
      <c r="B416" s="211">
        <v>42537</v>
      </c>
      <c r="C416" s="193" t="s">
        <v>1115</v>
      </c>
      <c r="D416" s="194">
        <v>49484</v>
      </c>
      <c r="E416" s="146"/>
      <c r="F416" s="146"/>
      <c r="G416" s="198"/>
      <c r="H416" s="19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</row>
    <row r="417" spans="1:23" ht="15" x14ac:dyDescent="0.4">
      <c r="A417" s="129">
        <v>530266</v>
      </c>
      <c r="B417" s="211">
        <v>42537</v>
      </c>
      <c r="C417" s="193" t="s">
        <v>1116</v>
      </c>
      <c r="D417" s="194">
        <v>20934</v>
      </c>
      <c r="E417" s="146"/>
      <c r="F417" s="146"/>
      <c r="G417" s="198"/>
      <c r="H417" s="19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</row>
    <row r="418" spans="1:23" ht="15" x14ac:dyDescent="0.4">
      <c r="A418" s="129">
        <v>530754</v>
      </c>
      <c r="B418" s="211">
        <v>42537</v>
      </c>
      <c r="C418" s="193" t="s">
        <v>1117</v>
      </c>
      <c r="D418" s="194">
        <v>49062</v>
      </c>
      <c r="E418" s="146"/>
      <c r="F418" s="146"/>
      <c r="G418" s="198"/>
      <c r="H418" s="19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</row>
    <row r="419" spans="1:23" ht="15" x14ac:dyDescent="0.4">
      <c r="A419" s="129">
        <v>530792</v>
      </c>
      <c r="B419" s="211">
        <v>42537</v>
      </c>
      <c r="C419" s="193" t="s">
        <v>1118</v>
      </c>
      <c r="D419" s="194">
        <v>37740</v>
      </c>
      <c r="E419" s="146"/>
      <c r="F419" s="146"/>
      <c r="G419" s="198"/>
      <c r="H419" s="19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</row>
    <row r="420" spans="1:23" ht="15" x14ac:dyDescent="0.4">
      <c r="A420" s="129">
        <v>217551</v>
      </c>
      <c r="B420" s="211">
        <v>42538</v>
      </c>
      <c r="C420" s="193" t="s">
        <v>1119</v>
      </c>
      <c r="D420" s="194">
        <v>51395</v>
      </c>
      <c r="E420" s="146"/>
      <c r="F420" s="146"/>
      <c r="G420" s="198"/>
      <c r="H420" s="19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</row>
    <row r="421" spans="1:23" ht="15" x14ac:dyDescent="0.4">
      <c r="A421" s="129">
        <v>222321</v>
      </c>
      <c r="B421" s="211">
        <v>42538</v>
      </c>
      <c r="C421" s="193" t="s">
        <v>1120</v>
      </c>
      <c r="D421" s="194">
        <v>62899</v>
      </c>
      <c r="E421" s="146"/>
      <c r="F421" s="146"/>
      <c r="G421" s="198"/>
      <c r="H421" s="19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</row>
    <row r="422" spans="1:23" ht="15" x14ac:dyDescent="0.4">
      <c r="A422" s="129">
        <v>508198</v>
      </c>
      <c r="B422" s="211">
        <v>42538</v>
      </c>
      <c r="C422" s="193" t="s">
        <v>1121</v>
      </c>
      <c r="D422" s="194">
        <v>32109</v>
      </c>
      <c r="E422" s="146"/>
      <c r="F422" s="146"/>
      <c r="G422" s="198"/>
      <c r="H422" s="19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</row>
    <row r="423" spans="1:23" ht="15" x14ac:dyDescent="0.4">
      <c r="A423" s="129">
        <v>511766</v>
      </c>
      <c r="B423" s="211">
        <v>42538</v>
      </c>
      <c r="C423" s="193" t="s">
        <v>1122</v>
      </c>
      <c r="D423" s="194">
        <v>89775</v>
      </c>
      <c r="E423" s="146"/>
      <c r="F423" s="146"/>
      <c r="G423" s="198"/>
      <c r="H423" s="19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</row>
    <row r="424" spans="1:23" ht="15" x14ac:dyDescent="0.4">
      <c r="A424" s="129">
        <v>513068</v>
      </c>
      <c r="B424" s="211">
        <v>42538</v>
      </c>
      <c r="C424" s="193" t="s">
        <v>1100</v>
      </c>
      <c r="D424" s="194">
        <v>12972</v>
      </c>
      <c r="E424" s="146"/>
      <c r="F424" s="146"/>
      <c r="G424" s="198"/>
      <c r="H424" s="19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</row>
    <row r="425" spans="1:23" ht="15" x14ac:dyDescent="0.4">
      <c r="A425" s="129">
        <v>514343</v>
      </c>
      <c r="B425" s="211">
        <v>42538</v>
      </c>
      <c r="C425" s="193" t="s">
        <v>1123</v>
      </c>
      <c r="D425" s="194">
        <v>21404</v>
      </c>
      <c r="E425" s="146"/>
      <c r="F425" s="146"/>
      <c r="G425" s="198"/>
      <c r="H425" s="19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</row>
    <row r="426" spans="1:23" ht="15" x14ac:dyDescent="0.4">
      <c r="A426" s="129">
        <v>514860</v>
      </c>
      <c r="B426" s="211">
        <v>42538</v>
      </c>
      <c r="C426" s="193" t="s">
        <v>1124</v>
      </c>
      <c r="D426" s="194">
        <v>29195</v>
      </c>
      <c r="E426" s="146"/>
      <c r="F426" s="146"/>
      <c r="G426" s="198"/>
      <c r="H426" s="19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</row>
    <row r="427" spans="1:23" ht="15" x14ac:dyDescent="0.4">
      <c r="A427" s="129">
        <v>515589</v>
      </c>
      <c r="B427" s="211">
        <v>42538</v>
      </c>
      <c r="C427" s="193" t="s">
        <v>1125</v>
      </c>
      <c r="D427" s="194">
        <v>97874</v>
      </c>
      <c r="E427" s="146"/>
      <c r="F427" s="146"/>
      <c r="G427" s="198"/>
      <c r="H427" s="19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</row>
    <row r="428" spans="1:23" ht="15" x14ac:dyDescent="0.4">
      <c r="A428" s="129">
        <v>515600</v>
      </c>
      <c r="B428" s="211">
        <v>42538</v>
      </c>
      <c r="C428" s="193" t="s">
        <v>1126</v>
      </c>
      <c r="D428" s="194">
        <v>73803</v>
      </c>
      <c r="E428" s="146"/>
      <c r="F428" s="146"/>
      <c r="G428" s="198"/>
      <c r="H428" s="19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</row>
    <row r="429" spans="1:23" ht="15" x14ac:dyDescent="0.4">
      <c r="A429" s="129">
        <v>515831</v>
      </c>
      <c r="B429" s="211">
        <v>42538</v>
      </c>
      <c r="C429" s="193" t="s">
        <v>1127</v>
      </c>
      <c r="D429" s="194">
        <v>62717</v>
      </c>
      <c r="E429" s="146"/>
      <c r="F429" s="146"/>
      <c r="G429" s="198"/>
      <c r="H429" s="19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</row>
    <row r="430" spans="1:23" ht="15" x14ac:dyDescent="0.4">
      <c r="A430" s="129">
        <v>516180</v>
      </c>
      <c r="B430" s="211">
        <v>42538</v>
      </c>
      <c r="C430" s="193" t="s">
        <v>1128</v>
      </c>
      <c r="D430" s="194">
        <v>50861</v>
      </c>
      <c r="E430" s="146"/>
      <c r="F430" s="146"/>
      <c r="G430" s="198"/>
      <c r="H430" s="19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</row>
    <row r="431" spans="1:23" ht="15" x14ac:dyDescent="0.4">
      <c r="A431" s="129">
        <v>516650</v>
      </c>
      <c r="B431" s="211">
        <v>42538</v>
      </c>
      <c r="C431" s="193" t="s">
        <v>1129</v>
      </c>
      <c r="D431" s="194">
        <v>74108</v>
      </c>
      <c r="E431" s="146"/>
      <c r="F431" s="146"/>
      <c r="G431" s="198"/>
      <c r="H431" s="19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</row>
    <row r="432" spans="1:23" ht="15" x14ac:dyDescent="0.4">
      <c r="A432" s="129">
        <v>516731</v>
      </c>
      <c r="B432" s="211">
        <v>42538</v>
      </c>
      <c r="C432" s="193" t="s">
        <v>1130</v>
      </c>
      <c r="D432" s="194">
        <v>41968</v>
      </c>
      <c r="E432" s="146"/>
      <c r="F432" s="146"/>
      <c r="G432" s="198"/>
      <c r="H432" s="19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</row>
    <row r="433" spans="1:23" ht="15" x14ac:dyDescent="0.4">
      <c r="A433" s="129">
        <v>518675</v>
      </c>
      <c r="B433" s="211">
        <v>42538</v>
      </c>
      <c r="C433" s="193" t="s">
        <v>1131</v>
      </c>
      <c r="D433" s="194">
        <v>78375</v>
      </c>
      <c r="E433" s="146"/>
      <c r="F433" s="146"/>
      <c r="G433" s="198"/>
      <c r="H433" s="19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</row>
    <row r="434" spans="1:23" ht="15" x14ac:dyDescent="0.4">
      <c r="A434" s="129">
        <v>518900</v>
      </c>
      <c r="B434" s="211">
        <v>42538</v>
      </c>
      <c r="C434" s="193" t="s">
        <v>1132</v>
      </c>
      <c r="D434" s="194">
        <v>96246</v>
      </c>
      <c r="E434" s="146"/>
      <c r="F434" s="146"/>
      <c r="G434" s="198"/>
      <c r="H434" s="19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</row>
    <row r="435" spans="1:23" ht="15" x14ac:dyDescent="0.4">
      <c r="A435" s="129">
        <v>518961</v>
      </c>
      <c r="B435" s="211">
        <v>42538</v>
      </c>
      <c r="C435" s="193" t="s">
        <v>1133</v>
      </c>
      <c r="D435" s="194">
        <v>42426</v>
      </c>
      <c r="E435" s="146"/>
      <c r="F435" s="146"/>
      <c r="G435" s="198"/>
      <c r="H435" s="19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</row>
    <row r="436" spans="1:23" ht="15" x14ac:dyDescent="0.4">
      <c r="A436" s="129">
        <v>520371</v>
      </c>
      <c r="B436" s="211">
        <v>42538</v>
      </c>
      <c r="C436" s="193" t="s">
        <v>1134</v>
      </c>
      <c r="D436" s="194">
        <v>53785</v>
      </c>
      <c r="E436" s="146"/>
      <c r="F436" s="146"/>
      <c r="G436" s="198"/>
      <c r="H436" s="19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</row>
    <row r="437" spans="1:23" ht="15" x14ac:dyDescent="0.4">
      <c r="A437" s="129">
        <v>521814</v>
      </c>
      <c r="B437" s="211">
        <v>42538</v>
      </c>
      <c r="C437" s="193" t="s">
        <v>1135</v>
      </c>
      <c r="D437" s="194">
        <v>18224</v>
      </c>
      <c r="E437" s="146"/>
      <c r="F437" s="146"/>
      <c r="G437" s="198"/>
      <c r="H437" s="19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</row>
    <row r="438" spans="1:23" ht="15" x14ac:dyDescent="0.4">
      <c r="A438" s="129">
        <v>528539</v>
      </c>
      <c r="B438" s="211">
        <v>42538</v>
      </c>
      <c r="C438" s="193" t="s">
        <v>1136</v>
      </c>
      <c r="D438" s="194">
        <v>56201</v>
      </c>
      <c r="E438" s="146"/>
      <c r="F438" s="146"/>
      <c r="G438" s="198"/>
      <c r="H438" s="19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</row>
    <row r="439" spans="1:23" ht="15" x14ac:dyDescent="0.4">
      <c r="A439" s="129">
        <v>528866</v>
      </c>
      <c r="B439" s="211">
        <v>42538</v>
      </c>
      <c r="C439" s="193" t="s">
        <v>1137</v>
      </c>
      <c r="D439" s="194">
        <v>40660</v>
      </c>
      <c r="E439" s="146"/>
      <c r="F439" s="146"/>
      <c r="G439" s="198"/>
      <c r="H439" s="19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</row>
    <row r="440" spans="1:23" ht="15" x14ac:dyDescent="0.4">
      <c r="A440" s="129">
        <v>530057</v>
      </c>
      <c r="B440" s="211">
        <v>42538</v>
      </c>
      <c r="C440" s="193" t="s">
        <v>1138</v>
      </c>
      <c r="D440" s="194">
        <v>59705</v>
      </c>
      <c r="E440" s="146"/>
      <c r="F440" s="146"/>
      <c r="G440" s="198"/>
      <c r="H440" s="19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</row>
    <row r="441" spans="1:23" ht="15" x14ac:dyDescent="0.4">
      <c r="A441" s="129">
        <v>530065</v>
      </c>
      <c r="B441" s="211">
        <v>42538</v>
      </c>
      <c r="C441" s="193" t="s">
        <v>1139</v>
      </c>
      <c r="D441" s="194">
        <v>45412</v>
      </c>
      <c r="E441" s="146"/>
      <c r="F441" s="146"/>
      <c r="G441" s="198"/>
      <c r="H441" s="19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</row>
    <row r="442" spans="1:23" ht="15" x14ac:dyDescent="0.4">
      <c r="A442" s="129">
        <v>530096</v>
      </c>
      <c r="B442" s="211">
        <v>42538</v>
      </c>
      <c r="C442" s="193" t="s">
        <v>1140</v>
      </c>
      <c r="D442" s="194">
        <v>94928</v>
      </c>
      <c r="E442" s="146"/>
      <c r="F442" s="146"/>
      <c r="G442" s="198"/>
      <c r="H442" s="19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</row>
    <row r="443" spans="1:23" ht="15" x14ac:dyDescent="0.4">
      <c r="A443" s="129">
        <v>530282</v>
      </c>
      <c r="B443" s="211">
        <v>42538</v>
      </c>
      <c r="C443" s="193" t="s">
        <v>1141</v>
      </c>
      <c r="D443" s="194">
        <v>82641</v>
      </c>
      <c r="E443" s="146"/>
      <c r="F443" s="146"/>
      <c r="G443" s="198"/>
      <c r="H443" s="19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</row>
    <row r="444" spans="1:23" ht="15" x14ac:dyDescent="0.4">
      <c r="A444" s="129">
        <v>530794</v>
      </c>
      <c r="B444" s="211">
        <v>42538</v>
      </c>
      <c r="C444" s="193" t="s">
        <v>1142</v>
      </c>
      <c r="D444" s="194">
        <v>76938</v>
      </c>
      <c r="E444" s="146"/>
      <c r="F444" s="146"/>
      <c r="G444" s="198"/>
      <c r="H444" s="19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</row>
    <row r="445" spans="1:23" ht="15" x14ac:dyDescent="0.4">
      <c r="A445" s="129">
        <v>531962</v>
      </c>
      <c r="B445" s="211">
        <v>42538</v>
      </c>
      <c r="C445" s="193" t="s">
        <v>1143</v>
      </c>
      <c r="D445" s="194">
        <v>99888</v>
      </c>
      <c r="E445" s="146"/>
      <c r="F445" s="146"/>
      <c r="G445" s="198"/>
      <c r="H445" s="19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</row>
    <row r="446" spans="1:23" ht="15" x14ac:dyDescent="0.4">
      <c r="A446" s="129">
        <v>212851</v>
      </c>
      <c r="B446" s="211">
        <v>42539</v>
      </c>
      <c r="C446" s="193" t="s">
        <v>1144</v>
      </c>
      <c r="D446" s="194">
        <v>15637</v>
      </c>
      <c r="E446" s="146"/>
      <c r="F446" s="146"/>
      <c r="G446" s="198"/>
      <c r="H446" s="19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</row>
    <row r="447" spans="1:23" ht="15" x14ac:dyDescent="0.4">
      <c r="A447" s="129">
        <v>217971</v>
      </c>
      <c r="B447" s="211">
        <v>42539</v>
      </c>
      <c r="C447" s="193" t="s">
        <v>1145</v>
      </c>
      <c r="D447" s="194">
        <v>65052</v>
      </c>
      <c r="E447" s="146"/>
      <c r="F447" s="146"/>
      <c r="G447" s="198"/>
      <c r="H447" s="19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</row>
    <row r="448" spans="1:23" ht="15" x14ac:dyDescent="0.4">
      <c r="A448" s="129">
        <v>218166</v>
      </c>
      <c r="B448" s="211">
        <v>42539</v>
      </c>
      <c r="C448" s="193" t="s">
        <v>1146</v>
      </c>
      <c r="D448" s="194">
        <v>68970</v>
      </c>
      <c r="E448" s="146"/>
      <c r="F448" s="146"/>
      <c r="G448" s="198"/>
      <c r="H448" s="19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</row>
    <row r="449" spans="1:23" ht="15" x14ac:dyDescent="0.4">
      <c r="A449" s="129">
        <v>513463</v>
      </c>
      <c r="B449" s="211">
        <v>42539</v>
      </c>
      <c r="C449" s="193" t="s">
        <v>1147</v>
      </c>
      <c r="D449" s="194">
        <v>68286</v>
      </c>
      <c r="E449" s="146"/>
      <c r="F449" s="146"/>
      <c r="G449" s="198"/>
      <c r="H449" s="19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</row>
    <row r="450" spans="1:23" ht="15" x14ac:dyDescent="0.4">
      <c r="A450" s="129">
        <v>515226</v>
      </c>
      <c r="B450" s="211">
        <v>42539</v>
      </c>
      <c r="C450" s="193" t="s">
        <v>1148</v>
      </c>
      <c r="D450" s="194">
        <v>44169</v>
      </c>
      <c r="E450" s="146"/>
      <c r="F450" s="146"/>
      <c r="G450" s="198"/>
      <c r="H450" s="19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</row>
    <row r="451" spans="1:23" ht="15" x14ac:dyDescent="0.4">
      <c r="A451" s="129">
        <v>515240</v>
      </c>
      <c r="B451" s="211">
        <v>42539</v>
      </c>
      <c r="C451" s="193" t="s">
        <v>1149</v>
      </c>
      <c r="D451" s="194">
        <v>34199</v>
      </c>
      <c r="E451" s="146"/>
      <c r="F451" s="146"/>
      <c r="G451" s="198"/>
      <c r="H451" s="19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</row>
    <row r="452" spans="1:23" ht="15" x14ac:dyDescent="0.4">
      <c r="A452" s="129">
        <v>515258</v>
      </c>
      <c r="B452" s="211">
        <v>42539</v>
      </c>
      <c r="C452" s="193" t="s">
        <v>1150</v>
      </c>
      <c r="D452" s="194">
        <v>82655</v>
      </c>
      <c r="E452" s="146"/>
      <c r="F452" s="146"/>
      <c r="G452" s="198"/>
      <c r="H452" s="19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</row>
    <row r="453" spans="1:23" ht="15" x14ac:dyDescent="0.4">
      <c r="A453" s="129">
        <v>515276</v>
      </c>
      <c r="B453" s="211">
        <v>42539</v>
      </c>
      <c r="C453" s="193" t="s">
        <v>1151</v>
      </c>
      <c r="D453" s="194">
        <v>56517</v>
      </c>
      <c r="E453" s="146"/>
      <c r="F453" s="146"/>
      <c r="G453" s="198"/>
      <c r="H453" s="19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</row>
    <row r="454" spans="1:23" ht="15" x14ac:dyDescent="0.4">
      <c r="A454" s="129">
        <v>515395</v>
      </c>
      <c r="B454" s="211">
        <v>42539</v>
      </c>
      <c r="C454" s="193" t="s">
        <v>1152</v>
      </c>
      <c r="D454" s="194">
        <v>86313</v>
      </c>
      <c r="E454" s="146"/>
      <c r="F454" s="146"/>
      <c r="G454" s="198"/>
      <c r="H454" s="19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</row>
    <row r="455" spans="1:23" ht="15" x14ac:dyDescent="0.4">
      <c r="A455" s="129">
        <v>515593</v>
      </c>
      <c r="B455" s="211">
        <v>42539</v>
      </c>
      <c r="C455" s="193" t="s">
        <v>1153</v>
      </c>
      <c r="D455" s="194">
        <v>65360</v>
      </c>
      <c r="E455" s="146"/>
      <c r="F455" s="146"/>
      <c r="G455" s="198"/>
      <c r="H455" s="19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</row>
    <row r="456" spans="1:23" ht="15" x14ac:dyDescent="0.4">
      <c r="A456" s="129">
        <v>516586</v>
      </c>
      <c r="B456" s="211">
        <v>42539</v>
      </c>
      <c r="C456" s="193" t="s">
        <v>1154</v>
      </c>
      <c r="D456" s="194">
        <v>93327</v>
      </c>
      <c r="E456" s="146"/>
      <c r="F456" s="146"/>
      <c r="G456" s="198"/>
      <c r="H456" s="19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</row>
    <row r="457" spans="1:23" ht="15" x14ac:dyDescent="0.4">
      <c r="A457" s="129">
        <v>516647</v>
      </c>
      <c r="B457" s="211">
        <v>42539</v>
      </c>
      <c r="C457" s="193" t="s">
        <v>1155</v>
      </c>
      <c r="D457" s="194">
        <v>98667</v>
      </c>
      <c r="E457" s="146"/>
      <c r="F457" s="146"/>
      <c r="G457" s="198"/>
      <c r="H457" s="19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</row>
    <row r="458" spans="1:23" ht="15" x14ac:dyDescent="0.4">
      <c r="A458" s="129">
        <v>516736</v>
      </c>
      <c r="B458" s="211">
        <v>42539</v>
      </c>
      <c r="C458" s="193" t="s">
        <v>1156</v>
      </c>
      <c r="D458" s="194">
        <v>52074</v>
      </c>
      <c r="E458" s="146"/>
      <c r="F458" s="146"/>
      <c r="G458" s="198"/>
      <c r="H458" s="19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</row>
    <row r="459" spans="1:23" ht="15" x14ac:dyDescent="0.4">
      <c r="A459" s="129">
        <v>516757</v>
      </c>
      <c r="B459" s="211">
        <v>42539</v>
      </c>
      <c r="C459" s="193" t="s">
        <v>1157</v>
      </c>
      <c r="D459" s="194">
        <v>76831</v>
      </c>
      <c r="E459" s="146"/>
      <c r="F459" s="146"/>
      <c r="G459" s="198"/>
      <c r="H459" s="19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</row>
    <row r="460" spans="1:23" ht="15" x14ac:dyDescent="0.4">
      <c r="A460" s="129">
        <v>516781</v>
      </c>
      <c r="B460" s="211">
        <v>42539</v>
      </c>
      <c r="C460" s="193" t="s">
        <v>1158</v>
      </c>
      <c r="D460" s="194">
        <v>70282</v>
      </c>
      <c r="E460" s="146"/>
      <c r="F460" s="146"/>
      <c r="G460" s="198"/>
      <c r="H460" s="19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</row>
    <row r="461" spans="1:23" ht="15" x14ac:dyDescent="0.4">
      <c r="A461" s="129">
        <v>517771</v>
      </c>
      <c r="B461" s="211">
        <v>42539</v>
      </c>
      <c r="C461" s="193" t="s">
        <v>1159</v>
      </c>
      <c r="D461" s="194">
        <v>61747</v>
      </c>
      <c r="E461" s="146"/>
      <c r="F461" s="146"/>
      <c r="G461" s="198"/>
      <c r="H461" s="19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</row>
    <row r="462" spans="1:23" ht="15" x14ac:dyDescent="0.4">
      <c r="A462" s="129">
        <v>517828</v>
      </c>
      <c r="B462" s="211">
        <v>42539</v>
      </c>
      <c r="C462" s="193" t="s">
        <v>1160</v>
      </c>
      <c r="D462" s="194">
        <v>94272</v>
      </c>
      <c r="E462" s="146"/>
      <c r="F462" s="146"/>
      <c r="G462" s="198"/>
      <c r="H462" s="19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</row>
    <row r="463" spans="1:23" ht="15" x14ac:dyDescent="0.4">
      <c r="A463" s="129">
        <v>518061</v>
      </c>
      <c r="B463" s="211">
        <v>42539</v>
      </c>
      <c r="C463" s="193" t="s">
        <v>1161</v>
      </c>
      <c r="D463" s="194">
        <v>81501</v>
      </c>
      <c r="E463" s="146"/>
      <c r="F463" s="146"/>
      <c r="G463" s="198"/>
      <c r="H463" s="19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</row>
    <row r="464" spans="1:23" ht="15" x14ac:dyDescent="0.4">
      <c r="A464" s="129">
        <v>518065</v>
      </c>
      <c r="B464" s="211">
        <v>42539</v>
      </c>
      <c r="C464" s="193" t="s">
        <v>1162</v>
      </c>
      <c r="D464" s="194">
        <v>13792</v>
      </c>
      <c r="E464" s="146"/>
      <c r="F464" s="146"/>
      <c r="G464" s="198"/>
      <c r="H464" s="19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</row>
    <row r="465" spans="1:23" ht="15" x14ac:dyDescent="0.4">
      <c r="A465" s="129">
        <v>518648</v>
      </c>
      <c r="B465" s="211">
        <v>42539</v>
      </c>
      <c r="C465" s="193" t="s">
        <v>1163</v>
      </c>
      <c r="D465" s="194">
        <v>88462</v>
      </c>
      <c r="E465" s="146"/>
      <c r="F465" s="146"/>
      <c r="G465" s="198"/>
      <c r="H465" s="19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</row>
    <row r="466" spans="1:23" ht="15" x14ac:dyDescent="0.4">
      <c r="A466" s="129">
        <v>518657</v>
      </c>
      <c r="B466" s="211">
        <v>42539</v>
      </c>
      <c r="C466" s="193" t="s">
        <v>1164</v>
      </c>
      <c r="D466" s="194">
        <v>97060</v>
      </c>
      <c r="E466" s="146"/>
      <c r="F466" s="146"/>
      <c r="G466" s="198"/>
      <c r="H466" s="19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</row>
    <row r="467" spans="1:23" ht="15" x14ac:dyDescent="0.4">
      <c r="A467" s="129">
        <v>518659</v>
      </c>
      <c r="B467" s="211">
        <v>42539</v>
      </c>
      <c r="C467" s="193" t="s">
        <v>1165</v>
      </c>
      <c r="D467" s="194">
        <v>65130</v>
      </c>
      <c r="E467" s="146"/>
      <c r="F467" s="146"/>
      <c r="G467" s="198"/>
      <c r="H467" s="19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</row>
    <row r="468" spans="1:23" ht="15" x14ac:dyDescent="0.4">
      <c r="A468" s="129">
        <v>519165</v>
      </c>
      <c r="B468" s="211">
        <v>42539</v>
      </c>
      <c r="C468" s="193" t="s">
        <v>1166</v>
      </c>
      <c r="D468" s="194">
        <v>21513</v>
      </c>
      <c r="E468" s="146"/>
      <c r="F468" s="146"/>
      <c r="G468" s="198"/>
      <c r="H468" s="19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</row>
    <row r="469" spans="1:23" ht="15" x14ac:dyDescent="0.4">
      <c r="A469" s="129">
        <v>520717</v>
      </c>
      <c r="B469" s="211">
        <v>42539</v>
      </c>
      <c r="C469" s="193" t="s">
        <v>1167</v>
      </c>
      <c r="D469" s="194">
        <v>85342</v>
      </c>
      <c r="E469" s="146"/>
      <c r="F469" s="146"/>
      <c r="G469" s="198"/>
      <c r="H469" s="19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</row>
    <row r="470" spans="1:23" ht="15" x14ac:dyDescent="0.4">
      <c r="A470" s="129">
        <v>528523</v>
      </c>
      <c r="B470" s="211">
        <v>42539</v>
      </c>
      <c r="C470" s="193" t="s">
        <v>1168</v>
      </c>
      <c r="D470" s="194">
        <v>93215</v>
      </c>
      <c r="E470" s="146"/>
      <c r="F470" s="146"/>
      <c r="G470" s="198"/>
      <c r="H470" s="19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</row>
    <row r="471" spans="1:23" ht="15" x14ac:dyDescent="0.4">
      <c r="A471" s="129">
        <v>529149</v>
      </c>
      <c r="B471" s="211">
        <v>42539</v>
      </c>
      <c r="C471" s="193" t="s">
        <v>1169</v>
      </c>
      <c r="D471" s="194">
        <v>17964</v>
      </c>
      <c r="E471" s="146"/>
      <c r="F471" s="146"/>
      <c r="G471" s="198"/>
      <c r="H471" s="19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</row>
    <row r="472" spans="1:23" ht="15" x14ac:dyDescent="0.4">
      <c r="A472" s="129">
        <v>529277</v>
      </c>
      <c r="B472" s="211">
        <v>42539</v>
      </c>
      <c r="C472" s="193" t="s">
        <v>1134</v>
      </c>
      <c r="D472" s="194">
        <v>24424</v>
      </c>
      <c r="E472" s="146"/>
      <c r="F472" s="146"/>
      <c r="G472" s="198"/>
      <c r="H472" s="19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</row>
    <row r="473" spans="1:23" ht="15" x14ac:dyDescent="0.4">
      <c r="A473" s="129">
        <v>530261</v>
      </c>
      <c r="B473" s="211">
        <v>42539</v>
      </c>
      <c r="C473" s="193" t="s">
        <v>1170</v>
      </c>
      <c r="D473" s="194">
        <v>44514</v>
      </c>
      <c r="E473" s="146"/>
      <c r="F473" s="146"/>
      <c r="G473" s="198"/>
      <c r="H473" s="19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</row>
    <row r="474" spans="1:23" ht="15" x14ac:dyDescent="0.4">
      <c r="A474" s="129">
        <v>530262</v>
      </c>
      <c r="B474" s="211">
        <v>42539</v>
      </c>
      <c r="C474" s="193" t="s">
        <v>1171</v>
      </c>
      <c r="D474" s="194">
        <v>44367</v>
      </c>
      <c r="E474" s="146"/>
      <c r="F474" s="146"/>
      <c r="G474" s="198"/>
      <c r="H474" s="19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</row>
    <row r="475" spans="1:23" ht="15" x14ac:dyDescent="0.4">
      <c r="A475" s="129">
        <v>530756</v>
      </c>
      <c r="B475" s="211">
        <v>42539</v>
      </c>
      <c r="C475" s="193" t="s">
        <v>1172</v>
      </c>
      <c r="D475" s="194">
        <v>96559</v>
      </c>
      <c r="E475" s="146"/>
      <c r="F475" s="146"/>
      <c r="G475" s="198"/>
      <c r="H475" s="19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</row>
    <row r="476" spans="1:23" ht="15" x14ac:dyDescent="0.4">
      <c r="A476" s="129">
        <v>531521</v>
      </c>
      <c r="B476" s="211">
        <v>42539</v>
      </c>
      <c r="C476" s="193" t="s">
        <v>1173</v>
      </c>
      <c r="D476" s="194">
        <v>88222</v>
      </c>
      <c r="E476" s="146"/>
      <c r="F476" s="146"/>
      <c r="G476" s="198"/>
      <c r="H476" s="19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</row>
    <row r="477" spans="1:23" ht="15" x14ac:dyDescent="0.4">
      <c r="A477" s="129">
        <v>220227</v>
      </c>
      <c r="B477" s="211">
        <v>42540</v>
      </c>
      <c r="C477" s="193" t="s">
        <v>1174</v>
      </c>
      <c r="D477" s="194">
        <v>46575</v>
      </c>
      <c r="E477" s="146"/>
      <c r="F477" s="146"/>
      <c r="G477" s="198"/>
      <c r="H477" s="19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</row>
    <row r="478" spans="1:23" ht="15" x14ac:dyDescent="0.4">
      <c r="A478" s="129">
        <v>221801</v>
      </c>
      <c r="B478" s="211">
        <v>42540</v>
      </c>
      <c r="C478" s="193" t="s">
        <v>1175</v>
      </c>
      <c r="D478" s="194">
        <v>72086</v>
      </c>
      <c r="E478" s="146"/>
      <c r="F478" s="146"/>
      <c r="G478" s="198"/>
      <c r="H478" s="19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</row>
    <row r="479" spans="1:23" ht="15" x14ac:dyDescent="0.4">
      <c r="A479" s="129">
        <v>222354</v>
      </c>
      <c r="B479" s="211">
        <v>42540</v>
      </c>
      <c r="C479" s="193" t="s">
        <v>1176</v>
      </c>
      <c r="D479" s="194">
        <v>50255</v>
      </c>
      <c r="E479" s="146"/>
      <c r="F479" s="146"/>
      <c r="G479" s="198"/>
      <c r="H479" s="19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</row>
    <row r="480" spans="1:23" ht="15" x14ac:dyDescent="0.4">
      <c r="A480" s="129">
        <v>515598</v>
      </c>
      <c r="B480" s="211">
        <v>42540</v>
      </c>
      <c r="C480" s="193" t="s">
        <v>1177</v>
      </c>
      <c r="D480" s="194">
        <v>89114</v>
      </c>
      <c r="E480" s="146"/>
      <c r="F480" s="146"/>
      <c r="G480" s="198"/>
      <c r="H480" s="19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</row>
    <row r="481" spans="1:23" ht="15" x14ac:dyDescent="0.4">
      <c r="A481" s="129">
        <v>516144</v>
      </c>
      <c r="B481" s="211">
        <v>42540</v>
      </c>
      <c r="C481" s="193" t="s">
        <v>1178</v>
      </c>
      <c r="D481" s="194">
        <v>73011</v>
      </c>
      <c r="E481" s="146"/>
      <c r="F481" s="146"/>
      <c r="G481" s="198"/>
      <c r="H481" s="19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</row>
    <row r="482" spans="1:23" ht="15" x14ac:dyDescent="0.4">
      <c r="A482" s="129">
        <v>516518</v>
      </c>
      <c r="B482" s="211">
        <v>42540</v>
      </c>
      <c r="C482" s="193" t="s">
        <v>1179</v>
      </c>
      <c r="D482" s="194">
        <v>52921</v>
      </c>
      <c r="E482" s="146"/>
      <c r="F482" s="146"/>
      <c r="G482" s="198"/>
      <c r="H482" s="19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</row>
    <row r="483" spans="1:23" ht="15" x14ac:dyDescent="0.4">
      <c r="A483" s="129">
        <v>517812</v>
      </c>
      <c r="B483" s="211">
        <v>42540</v>
      </c>
      <c r="C483" s="193" t="s">
        <v>1180</v>
      </c>
      <c r="D483" s="194">
        <v>44721</v>
      </c>
      <c r="E483" s="146"/>
      <c r="F483" s="146"/>
      <c r="G483" s="198"/>
      <c r="H483" s="19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</row>
    <row r="484" spans="1:23" ht="15" x14ac:dyDescent="0.4">
      <c r="A484" s="129">
        <v>518075</v>
      </c>
      <c r="B484" s="211">
        <v>42540</v>
      </c>
      <c r="C484" s="193" t="s">
        <v>1181</v>
      </c>
      <c r="D484" s="194">
        <v>23419</v>
      </c>
      <c r="E484" s="146"/>
      <c r="F484" s="146"/>
      <c r="G484" s="198"/>
      <c r="H484" s="19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</row>
    <row r="485" spans="1:23" ht="15" x14ac:dyDescent="0.4">
      <c r="A485" s="129">
        <v>518699</v>
      </c>
      <c r="B485" s="211">
        <v>42540</v>
      </c>
      <c r="C485" s="193" t="s">
        <v>1182</v>
      </c>
      <c r="D485" s="194">
        <v>28043</v>
      </c>
      <c r="E485" s="146"/>
      <c r="F485" s="146"/>
      <c r="G485" s="198"/>
      <c r="H485" s="19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</row>
    <row r="486" spans="1:23" ht="15" x14ac:dyDescent="0.4">
      <c r="A486" s="129">
        <v>519154</v>
      </c>
      <c r="B486" s="211">
        <v>42540</v>
      </c>
      <c r="C486" s="193" t="s">
        <v>1183</v>
      </c>
      <c r="D486" s="194">
        <v>89251</v>
      </c>
      <c r="E486" s="146"/>
      <c r="F486" s="146"/>
      <c r="G486" s="198"/>
      <c r="H486" s="19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</row>
    <row r="487" spans="1:23" ht="15" x14ac:dyDescent="0.4">
      <c r="A487" s="129">
        <v>519192</v>
      </c>
      <c r="B487" s="211">
        <v>42540</v>
      </c>
      <c r="C487" s="193" t="s">
        <v>1184</v>
      </c>
      <c r="D487" s="194">
        <v>75330</v>
      </c>
      <c r="E487" s="146"/>
      <c r="F487" s="146"/>
      <c r="G487" s="198"/>
      <c r="H487" s="19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</row>
    <row r="488" spans="1:23" ht="15" x14ac:dyDescent="0.4">
      <c r="A488" s="129">
        <v>519741</v>
      </c>
      <c r="B488" s="211">
        <v>42540</v>
      </c>
      <c r="C488" s="193" t="s">
        <v>1185</v>
      </c>
      <c r="D488" s="194">
        <v>64037</v>
      </c>
      <c r="E488" s="146"/>
      <c r="F488" s="146"/>
      <c r="G488" s="198"/>
      <c r="H488" s="19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</row>
    <row r="489" spans="1:23" ht="15" x14ac:dyDescent="0.4">
      <c r="A489" s="129">
        <v>520372</v>
      </c>
      <c r="B489" s="211">
        <v>42540</v>
      </c>
      <c r="C489" s="193" t="s">
        <v>1186</v>
      </c>
      <c r="D489" s="194">
        <v>11012</v>
      </c>
      <c r="E489" s="146"/>
      <c r="F489" s="146"/>
      <c r="G489" s="198"/>
      <c r="H489" s="19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</row>
    <row r="490" spans="1:23" ht="15" x14ac:dyDescent="0.4">
      <c r="A490" s="129">
        <v>520726</v>
      </c>
      <c r="B490" s="211">
        <v>42540</v>
      </c>
      <c r="C490" s="193" t="s">
        <v>1187</v>
      </c>
      <c r="D490" s="194">
        <v>18431</v>
      </c>
      <c r="E490" s="146"/>
      <c r="F490" s="146"/>
      <c r="G490" s="198"/>
      <c r="H490" s="19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</row>
    <row r="491" spans="1:23" ht="15" x14ac:dyDescent="0.4">
      <c r="A491" s="129">
        <v>520864</v>
      </c>
      <c r="B491" s="211">
        <v>42540</v>
      </c>
      <c r="C491" s="193" t="s">
        <v>1188</v>
      </c>
      <c r="D491" s="194">
        <v>20953</v>
      </c>
      <c r="E491" s="146"/>
      <c r="F491" s="146"/>
      <c r="G491" s="198"/>
      <c r="H491" s="19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</row>
    <row r="492" spans="1:23" ht="15" x14ac:dyDescent="0.4">
      <c r="A492" s="129">
        <v>520895</v>
      </c>
      <c r="B492" s="211">
        <v>42540</v>
      </c>
      <c r="C492" s="193" t="s">
        <v>1189</v>
      </c>
      <c r="D492" s="194">
        <v>91751</v>
      </c>
      <c r="E492" s="146"/>
      <c r="F492" s="146"/>
      <c r="G492" s="198"/>
      <c r="H492" s="19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</row>
    <row r="493" spans="1:23" ht="15" x14ac:dyDescent="0.4">
      <c r="A493" s="129">
        <v>520919</v>
      </c>
      <c r="B493" s="211">
        <v>42540</v>
      </c>
      <c r="C493" s="193" t="s">
        <v>1190</v>
      </c>
      <c r="D493" s="194">
        <v>24179</v>
      </c>
      <c r="E493" s="146"/>
      <c r="F493" s="146"/>
      <c r="G493" s="198"/>
      <c r="H493" s="19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</row>
    <row r="494" spans="1:23" ht="15" x14ac:dyDescent="0.4">
      <c r="A494" s="129">
        <v>520947</v>
      </c>
      <c r="B494" s="211">
        <v>42540</v>
      </c>
      <c r="C494" s="193" t="s">
        <v>1191</v>
      </c>
      <c r="D494" s="194">
        <v>52782</v>
      </c>
      <c r="E494" s="146"/>
      <c r="F494" s="146"/>
      <c r="G494" s="198"/>
      <c r="H494" s="19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</row>
    <row r="495" spans="1:23" ht="15" x14ac:dyDescent="0.4">
      <c r="A495" s="129">
        <v>521453</v>
      </c>
      <c r="B495" s="211">
        <v>42540</v>
      </c>
      <c r="C495" s="193" t="s">
        <v>1192</v>
      </c>
      <c r="D495" s="194">
        <v>28725</v>
      </c>
      <c r="E495" s="146"/>
      <c r="F495" s="146"/>
      <c r="G495" s="198"/>
      <c r="H495" s="19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</row>
    <row r="496" spans="1:23" ht="15" x14ac:dyDescent="0.4">
      <c r="A496" s="129">
        <v>521479</v>
      </c>
      <c r="B496" s="211">
        <v>42540</v>
      </c>
      <c r="C496" s="193" t="s">
        <v>1193</v>
      </c>
      <c r="D496" s="194">
        <v>87248</v>
      </c>
      <c r="E496" s="146"/>
      <c r="F496" s="146"/>
      <c r="G496" s="198"/>
      <c r="H496" s="19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</row>
    <row r="497" spans="1:23" ht="15" x14ac:dyDescent="0.4">
      <c r="A497" s="129">
        <v>521757</v>
      </c>
      <c r="B497" s="211">
        <v>42540</v>
      </c>
      <c r="C497" s="193" t="s">
        <v>1194</v>
      </c>
      <c r="D497" s="194">
        <v>79366</v>
      </c>
      <c r="E497" s="146"/>
      <c r="F497" s="146"/>
      <c r="G497" s="198"/>
      <c r="H497" s="19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</row>
    <row r="498" spans="1:23" ht="15" x14ac:dyDescent="0.4">
      <c r="A498" s="129">
        <v>528863</v>
      </c>
      <c r="B498" s="211">
        <v>42540</v>
      </c>
      <c r="C498" s="193" t="s">
        <v>1195</v>
      </c>
      <c r="D498" s="194">
        <v>20927</v>
      </c>
      <c r="E498" s="146"/>
      <c r="F498" s="146"/>
      <c r="G498" s="198"/>
      <c r="H498" s="19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</row>
    <row r="499" spans="1:23" ht="15" x14ac:dyDescent="0.4">
      <c r="A499" s="129">
        <v>530058</v>
      </c>
      <c r="B499" s="211">
        <v>42540</v>
      </c>
      <c r="C499" s="193" t="s">
        <v>1196</v>
      </c>
      <c r="D499" s="194">
        <v>54603</v>
      </c>
      <c r="E499" s="146"/>
      <c r="F499" s="146"/>
      <c r="G499" s="198"/>
      <c r="H499" s="19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</row>
    <row r="500" spans="1:23" ht="15" x14ac:dyDescent="0.4">
      <c r="A500" s="129">
        <v>530068</v>
      </c>
      <c r="B500" s="211">
        <v>42540</v>
      </c>
      <c r="C500" s="193" t="s">
        <v>1197</v>
      </c>
      <c r="D500" s="194">
        <v>62871</v>
      </c>
      <c r="E500" s="146"/>
      <c r="F500" s="146"/>
      <c r="G500" s="198"/>
      <c r="H500" s="19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</row>
    <row r="501" spans="1:23" ht="15" x14ac:dyDescent="0.4">
      <c r="A501" s="129">
        <v>530874</v>
      </c>
      <c r="B501" s="211">
        <v>42540</v>
      </c>
      <c r="C501" s="193" t="s">
        <v>1198</v>
      </c>
      <c r="D501" s="194">
        <v>95718</v>
      </c>
      <c r="E501" s="146"/>
      <c r="F501" s="146"/>
      <c r="G501" s="198"/>
      <c r="H501" s="19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</row>
    <row r="502" spans="1:23" ht="15" x14ac:dyDescent="0.4">
      <c r="A502" s="129">
        <v>530881</v>
      </c>
      <c r="B502" s="211">
        <v>42540</v>
      </c>
      <c r="C502" s="193" t="s">
        <v>1199</v>
      </c>
      <c r="D502" s="194">
        <v>41419</v>
      </c>
      <c r="E502" s="146"/>
      <c r="F502" s="146"/>
      <c r="G502" s="198"/>
      <c r="H502" s="19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</row>
    <row r="503" spans="1:23" ht="15" x14ac:dyDescent="0.4">
      <c r="A503" s="129">
        <v>213886</v>
      </c>
      <c r="B503" s="211">
        <v>42541</v>
      </c>
      <c r="C503" s="193" t="s">
        <v>1200</v>
      </c>
      <c r="D503" s="194">
        <v>28346</v>
      </c>
      <c r="E503" s="146"/>
      <c r="F503" s="146"/>
      <c r="G503" s="198"/>
      <c r="H503" s="19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</row>
    <row r="504" spans="1:23" ht="15" x14ac:dyDescent="0.4">
      <c r="A504" s="129">
        <v>219517</v>
      </c>
      <c r="B504" s="211">
        <v>42541</v>
      </c>
      <c r="C504" s="193" t="s">
        <v>1201</v>
      </c>
      <c r="D504" s="194">
        <v>32905</v>
      </c>
      <c r="E504" s="146"/>
      <c r="F504" s="146"/>
      <c r="G504" s="198"/>
      <c r="H504" s="19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</row>
    <row r="505" spans="1:23" ht="15" x14ac:dyDescent="0.4">
      <c r="A505" s="129">
        <v>220533</v>
      </c>
      <c r="B505" s="211">
        <v>42541</v>
      </c>
      <c r="C505" s="193" t="s">
        <v>1202</v>
      </c>
      <c r="D505" s="194">
        <v>90628</v>
      </c>
      <c r="E505" s="146"/>
      <c r="F505" s="146"/>
      <c r="G505" s="198"/>
      <c r="H505" s="19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</row>
    <row r="506" spans="1:23" ht="15" x14ac:dyDescent="0.4">
      <c r="A506" s="129">
        <v>221541</v>
      </c>
      <c r="B506" s="211">
        <v>42541</v>
      </c>
      <c r="C506" s="193" t="s">
        <v>1203</v>
      </c>
      <c r="D506" s="194">
        <v>36004</v>
      </c>
      <c r="E506" s="146"/>
      <c r="F506" s="146"/>
      <c r="G506" s="198"/>
      <c r="H506" s="19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</row>
    <row r="507" spans="1:23" ht="15" x14ac:dyDescent="0.4">
      <c r="A507" s="129">
        <v>221802</v>
      </c>
      <c r="B507" s="211">
        <v>42541</v>
      </c>
      <c r="C507" s="193" t="s">
        <v>1204</v>
      </c>
      <c r="D507" s="194">
        <v>52092</v>
      </c>
      <c r="E507" s="146"/>
      <c r="F507" s="146"/>
      <c r="G507" s="198"/>
      <c r="H507" s="19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</row>
    <row r="508" spans="1:23" ht="15" x14ac:dyDescent="0.4">
      <c r="A508" s="129">
        <v>222264</v>
      </c>
      <c r="B508" s="211">
        <v>42541</v>
      </c>
      <c r="C508" s="193" t="s">
        <v>1205</v>
      </c>
      <c r="D508" s="194">
        <v>91587</v>
      </c>
      <c r="E508" s="146"/>
      <c r="F508" s="146"/>
      <c r="G508" s="198"/>
      <c r="H508" s="19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</row>
    <row r="509" spans="1:23" ht="15" x14ac:dyDescent="0.4">
      <c r="A509" s="129">
        <v>514452</v>
      </c>
      <c r="B509" s="211">
        <v>42541</v>
      </c>
      <c r="C509" s="193" t="s">
        <v>1206</v>
      </c>
      <c r="D509" s="194">
        <v>49999</v>
      </c>
      <c r="E509" s="146"/>
      <c r="F509" s="146"/>
      <c r="G509" s="198"/>
      <c r="H509" s="19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</row>
    <row r="510" spans="1:23" ht="15" x14ac:dyDescent="0.4">
      <c r="A510" s="129">
        <v>515892</v>
      </c>
      <c r="B510" s="211">
        <v>42541</v>
      </c>
      <c r="C510" s="193" t="s">
        <v>1207</v>
      </c>
      <c r="D510" s="194">
        <v>16553</v>
      </c>
      <c r="E510" s="146"/>
      <c r="F510" s="146"/>
      <c r="G510" s="198"/>
      <c r="H510" s="19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</row>
    <row r="511" spans="1:23" ht="15" x14ac:dyDescent="0.4">
      <c r="A511" s="129">
        <v>516281</v>
      </c>
      <c r="B511" s="211">
        <v>42541</v>
      </c>
      <c r="C511" s="193" t="s">
        <v>1208</v>
      </c>
      <c r="D511" s="194">
        <v>71962</v>
      </c>
      <c r="E511" s="146"/>
      <c r="F511" s="146"/>
      <c r="G511" s="198"/>
      <c r="H511" s="19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</row>
    <row r="512" spans="1:23" ht="15" x14ac:dyDescent="0.4">
      <c r="A512" s="129">
        <v>516765</v>
      </c>
      <c r="B512" s="211">
        <v>42541</v>
      </c>
      <c r="C512" s="193" t="s">
        <v>1209</v>
      </c>
      <c r="D512" s="194">
        <v>57144</v>
      </c>
      <c r="E512" s="146"/>
      <c r="F512" s="146"/>
      <c r="G512" s="198"/>
      <c r="H512" s="19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</row>
    <row r="513" spans="1:23" ht="15" x14ac:dyDescent="0.4">
      <c r="A513" s="129">
        <v>518067</v>
      </c>
      <c r="B513" s="211">
        <v>42541</v>
      </c>
      <c r="C513" s="193" t="s">
        <v>1210</v>
      </c>
      <c r="D513" s="194">
        <v>67836</v>
      </c>
      <c r="E513" s="146"/>
      <c r="F513" s="146"/>
      <c r="G513" s="198"/>
      <c r="H513" s="19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</row>
    <row r="514" spans="1:23" ht="15" x14ac:dyDescent="0.4">
      <c r="A514" s="129">
        <v>518578</v>
      </c>
      <c r="B514" s="211">
        <v>42541</v>
      </c>
      <c r="C514" s="193" t="s">
        <v>1211</v>
      </c>
      <c r="D514" s="194">
        <v>19384</v>
      </c>
      <c r="E514" s="146"/>
      <c r="F514" s="146"/>
      <c r="G514" s="198"/>
      <c r="H514" s="19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</row>
    <row r="515" spans="1:23" ht="15" x14ac:dyDescent="0.4">
      <c r="A515" s="129">
        <v>518643</v>
      </c>
      <c r="B515" s="211">
        <v>42541</v>
      </c>
      <c r="C515" s="193" t="s">
        <v>1212</v>
      </c>
      <c r="D515" s="194">
        <v>18159</v>
      </c>
      <c r="E515" s="146"/>
      <c r="F515" s="146"/>
      <c r="G515" s="198"/>
      <c r="H515" s="19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</row>
    <row r="516" spans="1:23" ht="15" x14ac:dyDescent="0.4">
      <c r="A516" s="129">
        <v>519138</v>
      </c>
      <c r="B516" s="211">
        <v>42541</v>
      </c>
      <c r="C516" s="193" t="s">
        <v>1213</v>
      </c>
      <c r="D516" s="194">
        <v>31641</v>
      </c>
      <c r="E516" s="146"/>
      <c r="F516" s="146"/>
      <c r="G516" s="198"/>
      <c r="H516" s="19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</row>
    <row r="517" spans="1:23" ht="15" x14ac:dyDescent="0.4">
      <c r="A517" s="129">
        <v>519167</v>
      </c>
      <c r="B517" s="211">
        <v>42541</v>
      </c>
      <c r="C517" s="193" t="s">
        <v>1214</v>
      </c>
      <c r="D517" s="194">
        <v>17887</v>
      </c>
      <c r="E517" s="146"/>
      <c r="F517" s="146"/>
      <c r="G517" s="198"/>
      <c r="H517" s="19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</row>
    <row r="518" spans="1:23" ht="15" x14ac:dyDescent="0.4">
      <c r="A518" s="129">
        <v>519198</v>
      </c>
      <c r="B518" s="211">
        <v>42541</v>
      </c>
      <c r="C518" s="193" t="s">
        <v>1215</v>
      </c>
      <c r="D518" s="194">
        <v>77247</v>
      </c>
      <c r="E518" s="146"/>
      <c r="F518" s="146"/>
      <c r="G518" s="198"/>
      <c r="H518" s="19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</row>
    <row r="519" spans="1:23" ht="15" x14ac:dyDescent="0.4">
      <c r="A519" s="129">
        <v>519448</v>
      </c>
      <c r="B519" s="211">
        <v>42541</v>
      </c>
      <c r="C519" s="193" t="s">
        <v>1216</v>
      </c>
      <c r="D519" s="194">
        <v>22556</v>
      </c>
      <c r="E519" s="146"/>
      <c r="F519" s="146"/>
      <c r="G519" s="198"/>
      <c r="H519" s="19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</row>
    <row r="520" spans="1:23" ht="15" x14ac:dyDescent="0.4">
      <c r="A520" s="129">
        <v>520009</v>
      </c>
      <c r="B520" s="211">
        <v>42541</v>
      </c>
      <c r="C520" s="193" t="s">
        <v>1217</v>
      </c>
      <c r="D520" s="194">
        <v>78318</v>
      </c>
      <c r="E520" s="146"/>
      <c r="F520" s="146"/>
      <c r="G520" s="198"/>
      <c r="H520" s="19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</row>
    <row r="521" spans="1:23" ht="15" x14ac:dyDescent="0.4">
      <c r="A521" s="129">
        <v>520677</v>
      </c>
      <c r="B521" s="211">
        <v>42541</v>
      </c>
      <c r="C521" s="193" t="s">
        <v>1218</v>
      </c>
      <c r="D521" s="194">
        <v>85583</v>
      </c>
      <c r="E521" s="146"/>
      <c r="F521" s="146"/>
      <c r="G521" s="198"/>
      <c r="H521" s="19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</row>
    <row r="522" spans="1:23" ht="15" x14ac:dyDescent="0.4">
      <c r="A522" s="129">
        <v>520688</v>
      </c>
      <c r="B522" s="211">
        <v>42541</v>
      </c>
      <c r="C522" s="193" t="s">
        <v>1219</v>
      </c>
      <c r="D522" s="194">
        <v>60444</v>
      </c>
      <c r="E522" s="146"/>
      <c r="F522" s="146"/>
      <c r="G522" s="198"/>
      <c r="H522" s="19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</row>
    <row r="523" spans="1:23" ht="15" x14ac:dyDescent="0.4">
      <c r="A523" s="129">
        <v>520712</v>
      </c>
      <c r="B523" s="211">
        <v>42541</v>
      </c>
      <c r="C523" s="193" t="s">
        <v>1220</v>
      </c>
      <c r="D523" s="194">
        <v>55978</v>
      </c>
      <c r="E523" s="146"/>
      <c r="F523" s="146"/>
      <c r="G523" s="198"/>
      <c r="H523" s="19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</row>
    <row r="524" spans="1:23" ht="15" x14ac:dyDescent="0.4">
      <c r="A524" s="129">
        <v>520924</v>
      </c>
      <c r="B524" s="211">
        <v>42541</v>
      </c>
      <c r="C524" s="193" t="s">
        <v>1221</v>
      </c>
      <c r="D524" s="194">
        <v>87164</v>
      </c>
      <c r="E524" s="146"/>
      <c r="F524" s="146"/>
      <c r="G524" s="198"/>
      <c r="H524" s="19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</row>
    <row r="525" spans="1:23" ht="15" x14ac:dyDescent="0.4">
      <c r="A525" s="129">
        <v>521445</v>
      </c>
      <c r="B525" s="211">
        <v>42541</v>
      </c>
      <c r="C525" s="193" t="s">
        <v>1222</v>
      </c>
      <c r="D525" s="194">
        <v>67709</v>
      </c>
      <c r="E525" s="146"/>
      <c r="F525" s="146"/>
      <c r="G525" s="198"/>
      <c r="H525" s="19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</row>
    <row r="526" spans="1:23" ht="15" x14ac:dyDescent="0.4">
      <c r="A526" s="129">
        <v>528708</v>
      </c>
      <c r="B526" s="211">
        <v>42541</v>
      </c>
      <c r="C526" s="193" t="s">
        <v>1223</v>
      </c>
      <c r="D526" s="194">
        <v>58104</v>
      </c>
      <c r="E526" s="146"/>
      <c r="F526" s="146"/>
      <c r="G526" s="198"/>
      <c r="H526" s="19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</row>
    <row r="527" spans="1:23" ht="15" x14ac:dyDescent="0.4">
      <c r="A527" s="129">
        <v>529278</v>
      </c>
      <c r="B527" s="211">
        <v>42541</v>
      </c>
      <c r="C527" s="193" t="s">
        <v>1224</v>
      </c>
      <c r="D527" s="194">
        <v>38956</v>
      </c>
      <c r="E527" s="146"/>
      <c r="F527" s="146"/>
      <c r="G527" s="198"/>
      <c r="H527" s="19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</row>
    <row r="528" spans="1:23" ht="15" x14ac:dyDescent="0.4">
      <c r="A528" s="129">
        <v>529279</v>
      </c>
      <c r="B528" s="211">
        <v>42541</v>
      </c>
      <c r="C528" s="193" t="s">
        <v>890</v>
      </c>
      <c r="D528" s="194">
        <v>21563</v>
      </c>
      <c r="E528" s="146"/>
      <c r="F528" s="146"/>
      <c r="G528" s="198"/>
      <c r="H528" s="19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</row>
    <row r="529" spans="1:23" ht="15" x14ac:dyDescent="0.4">
      <c r="A529" s="129">
        <v>529681</v>
      </c>
      <c r="B529" s="211">
        <v>42541</v>
      </c>
      <c r="C529" s="193" t="s">
        <v>1225</v>
      </c>
      <c r="D529" s="194">
        <v>85992</v>
      </c>
      <c r="E529" s="146"/>
      <c r="F529" s="146"/>
      <c r="G529" s="198"/>
      <c r="H529" s="19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</row>
    <row r="530" spans="1:23" ht="15" x14ac:dyDescent="0.4">
      <c r="A530" s="129">
        <v>530055</v>
      </c>
      <c r="B530" s="211">
        <v>42541</v>
      </c>
      <c r="C530" s="193" t="s">
        <v>1226</v>
      </c>
      <c r="D530" s="194">
        <v>52755</v>
      </c>
      <c r="E530" s="146"/>
      <c r="F530" s="146"/>
      <c r="G530" s="198"/>
      <c r="H530" s="19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</row>
    <row r="531" spans="1:23" ht="15" x14ac:dyDescent="0.4">
      <c r="A531" s="129">
        <v>530067</v>
      </c>
      <c r="B531" s="211">
        <v>42541</v>
      </c>
      <c r="C531" s="193" t="s">
        <v>1227</v>
      </c>
      <c r="D531" s="194">
        <v>19295</v>
      </c>
      <c r="E531" s="146"/>
      <c r="F531" s="146"/>
      <c r="G531" s="198"/>
      <c r="H531" s="19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</row>
    <row r="532" spans="1:23" ht="15" x14ac:dyDescent="0.4">
      <c r="A532" s="129">
        <v>530799</v>
      </c>
      <c r="B532" s="211">
        <v>42541</v>
      </c>
      <c r="C532" s="193" t="s">
        <v>1228</v>
      </c>
      <c r="D532" s="194">
        <v>35611</v>
      </c>
      <c r="E532" s="146"/>
      <c r="F532" s="146"/>
      <c r="G532" s="198"/>
      <c r="H532" s="19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</row>
    <row r="533" spans="1:23" ht="15" x14ac:dyDescent="0.4">
      <c r="A533" s="129">
        <v>213652</v>
      </c>
      <c r="B533" s="211">
        <v>42542</v>
      </c>
      <c r="C533" s="193" t="s">
        <v>1229</v>
      </c>
      <c r="D533" s="194">
        <v>10564</v>
      </c>
      <c r="E533" s="146"/>
      <c r="F533" s="146"/>
      <c r="G533" s="198"/>
      <c r="H533" s="19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</row>
    <row r="534" spans="1:23" ht="15" x14ac:dyDescent="0.4">
      <c r="A534" s="129">
        <v>217395</v>
      </c>
      <c r="B534" s="211">
        <v>42542</v>
      </c>
      <c r="C534" s="193" t="s">
        <v>1230</v>
      </c>
      <c r="D534" s="194">
        <v>91981</v>
      </c>
      <c r="E534" s="146"/>
      <c r="F534" s="146"/>
      <c r="G534" s="198"/>
      <c r="H534" s="19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</row>
    <row r="535" spans="1:23" ht="15" x14ac:dyDescent="0.4">
      <c r="A535" s="129">
        <v>221113</v>
      </c>
      <c r="B535" s="211">
        <v>42542</v>
      </c>
      <c r="C535" s="193" t="s">
        <v>1231</v>
      </c>
      <c r="D535" s="194">
        <v>13220</v>
      </c>
      <c r="E535" s="146"/>
      <c r="F535" s="146"/>
      <c r="G535" s="198"/>
      <c r="H535" s="19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</row>
    <row r="536" spans="1:23" ht="15" x14ac:dyDescent="0.4">
      <c r="A536" s="129">
        <v>222646</v>
      </c>
      <c r="B536" s="211">
        <v>42542</v>
      </c>
      <c r="C536" s="193" t="s">
        <v>1232</v>
      </c>
      <c r="D536" s="194">
        <v>78811</v>
      </c>
      <c r="E536" s="146"/>
      <c r="F536" s="146"/>
      <c r="G536" s="198"/>
      <c r="H536" s="19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</row>
    <row r="537" spans="1:23" ht="15" x14ac:dyDescent="0.4">
      <c r="A537" s="129">
        <v>512786</v>
      </c>
      <c r="B537" s="211">
        <v>42542</v>
      </c>
      <c r="C537" s="193" t="s">
        <v>1233</v>
      </c>
      <c r="D537" s="194">
        <v>37064</v>
      </c>
      <c r="E537" s="146"/>
      <c r="F537" s="146"/>
      <c r="G537" s="198"/>
      <c r="H537" s="19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</row>
    <row r="538" spans="1:23" ht="15" x14ac:dyDescent="0.4">
      <c r="A538" s="129">
        <v>513797</v>
      </c>
      <c r="B538" s="211">
        <v>42542</v>
      </c>
      <c r="C538" s="193" t="s">
        <v>1234</v>
      </c>
      <c r="D538" s="194">
        <v>63687</v>
      </c>
      <c r="E538" s="146"/>
      <c r="F538" s="146"/>
      <c r="G538" s="198"/>
      <c r="H538" s="19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</row>
    <row r="539" spans="1:23" ht="15" x14ac:dyDescent="0.4">
      <c r="A539" s="129">
        <v>515970</v>
      </c>
      <c r="B539" s="211">
        <v>42542</v>
      </c>
      <c r="C539" s="193" t="s">
        <v>1235</v>
      </c>
      <c r="D539" s="194">
        <v>61644</v>
      </c>
      <c r="E539" s="146"/>
      <c r="F539" s="146"/>
      <c r="G539" s="198"/>
      <c r="H539" s="19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</row>
    <row r="540" spans="1:23" ht="15" x14ac:dyDescent="0.4">
      <c r="A540" s="129">
        <v>516136</v>
      </c>
      <c r="B540" s="211">
        <v>42542</v>
      </c>
      <c r="C540" s="193" t="s">
        <v>1236</v>
      </c>
      <c r="D540" s="194">
        <v>84841</v>
      </c>
      <c r="E540" s="146"/>
      <c r="F540" s="146"/>
      <c r="G540" s="198"/>
      <c r="H540" s="19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</row>
    <row r="541" spans="1:23" ht="15" x14ac:dyDescent="0.4">
      <c r="A541" s="129">
        <v>516141</v>
      </c>
      <c r="B541" s="211">
        <v>42542</v>
      </c>
      <c r="C541" s="193" t="s">
        <v>1237</v>
      </c>
      <c r="D541" s="194">
        <v>54150</v>
      </c>
      <c r="E541" s="146"/>
      <c r="F541" s="146"/>
      <c r="G541" s="198"/>
      <c r="H541" s="19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</row>
    <row r="542" spans="1:23" ht="15" x14ac:dyDescent="0.4">
      <c r="A542" s="129">
        <v>516483</v>
      </c>
      <c r="B542" s="211">
        <v>42542</v>
      </c>
      <c r="C542" s="193" t="s">
        <v>1238</v>
      </c>
      <c r="D542" s="194">
        <v>32292</v>
      </c>
      <c r="E542" s="146"/>
      <c r="F542" s="146"/>
      <c r="G542" s="198"/>
      <c r="H542" s="19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</row>
    <row r="543" spans="1:23" ht="15" x14ac:dyDescent="0.4">
      <c r="A543" s="129">
        <v>516663</v>
      </c>
      <c r="B543" s="211">
        <v>42542</v>
      </c>
      <c r="C543" s="193" t="s">
        <v>1037</v>
      </c>
      <c r="D543" s="194">
        <v>51536</v>
      </c>
      <c r="E543" s="146"/>
      <c r="F543" s="146"/>
      <c r="G543" s="198"/>
      <c r="H543" s="19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</row>
    <row r="544" spans="1:23" ht="15" x14ac:dyDescent="0.4">
      <c r="A544" s="129">
        <v>516735</v>
      </c>
      <c r="B544" s="211">
        <v>42542</v>
      </c>
      <c r="C544" s="193" t="s">
        <v>1239</v>
      </c>
      <c r="D544" s="194">
        <v>66957</v>
      </c>
      <c r="E544" s="146"/>
      <c r="F544" s="146"/>
      <c r="G544" s="198"/>
      <c r="H544" s="19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</row>
    <row r="545" spans="1:23" ht="15" x14ac:dyDescent="0.4">
      <c r="A545" s="129">
        <v>518548</v>
      </c>
      <c r="B545" s="211">
        <v>42542</v>
      </c>
      <c r="C545" s="193" t="s">
        <v>1240</v>
      </c>
      <c r="D545" s="194">
        <v>96863</v>
      </c>
      <c r="E545" s="146"/>
      <c r="F545" s="146"/>
      <c r="G545" s="198"/>
      <c r="H545" s="19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</row>
    <row r="546" spans="1:23" ht="15" x14ac:dyDescent="0.4">
      <c r="A546" s="129">
        <v>518673</v>
      </c>
      <c r="B546" s="211">
        <v>42542</v>
      </c>
      <c r="C546" s="193" t="s">
        <v>1241</v>
      </c>
      <c r="D546" s="194">
        <v>62569</v>
      </c>
      <c r="E546" s="146"/>
      <c r="F546" s="146"/>
      <c r="G546" s="198"/>
      <c r="H546" s="19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</row>
    <row r="547" spans="1:23" ht="15" x14ac:dyDescent="0.4">
      <c r="A547" s="129">
        <v>519435</v>
      </c>
      <c r="B547" s="211">
        <v>42542</v>
      </c>
      <c r="C547" s="193" t="s">
        <v>1242</v>
      </c>
      <c r="D547" s="194">
        <v>56071</v>
      </c>
      <c r="E547" s="146"/>
      <c r="F547" s="146"/>
      <c r="G547" s="198"/>
      <c r="H547" s="19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</row>
    <row r="548" spans="1:23" ht="15" x14ac:dyDescent="0.4">
      <c r="A548" s="129">
        <v>519719</v>
      </c>
      <c r="B548" s="211">
        <v>42542</v>
      </c>
      <c r="C548" s="193" t="s">
        <v>1243</v>
      </c>
      <c r="D548" s="194">
        <v>97939</v>
      </c>
      <c r="E548" s="146"/>
      <c r="F548" s="146"/>
      <c r="G548" s="198"/>
      <c r="H548" s="19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</row>
    <row r="549" spans="1:23" ht="15" x14ac:dyDescent="0.4">
      <c r="A549" s="129">
        <v>520796</v>
      </c>
      <c r="B549" s="211">
        <v>42542</v>
      </c>
      <c r="C549" s="193" t="s">
        <v>1244</v>
      </c>
      <c r="D549" s="194">
        <v>32500</v>
      </c>
      <c r="E549" s="146"/>
      <c r="F549" s="146"/>
      <c r="G549" s="198"/>
      <c r="H549" s="19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</row>
    <row r="550" spans="1:23" ht="15" x14ac:dyDescent="0.4">
      <c r="A550" s="129">
        <v>521446</v>
      </c>
      <c r="B550" s="211">
        <v>42542</v>
      </c>
      <c r="C550" s="193" t="s">
        <v>1245</v>
      </c>
      <c r="D550" s="194">
        <v>31156</v>
      </c>
      <c r="E550" s="146"/>
      <c r="F550" s="146"/>
      <c r="G550" s="198"/>
      <c r="H550" s="19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</row>
    <row r="551" spans="1:23" ht="15" x14ac:dyDescent="0.4">
      <c r="A551" s="129">
        <v>521534</v>
      </c>
      <c r="B551" s="211">
        <v>42542</v>
      </c>
      <c r="C551" s="193" t="s">
        <v>1246</v>
      </c>
      <c r="D551" s="194">
        <v>41978</v>
      </c>
      <c r="E551" s="146"/>
      <c r="F551" s="146"/>
      <c r="G551" s="198"/>
      <c r="H551" s="19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</row>
    <row r="552" spans="1:23" ht="15" x14ac:dyDescent="0.4">
      <c r="A552" s="129">
        <v>521974</v>
      </c>
      <c r="B552" s="211">
        <v>42542</v>
      </c>
      <c r="C552" s="193" t="s">
        <v>1247</v>
      </c>
      <c r="D552" s="194">
        <v>86199</v>
      </c>
      <c r="E552" s="146"/>
      <c r="F552" s="146"/>
      <c r="G552" s="198"/>
      <c r="H552" s="19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</row>
    <row r="553" spans="1:23" ht="15" x14ac:dyDescent="0.4">
      <c r="A553" s="129">
        <v>528701</v>
      </c>
      <c r="B553" s="211">
        <v>42542</v>
      </c>
      <c r="C553" s="193" t="s">
        <v>1248</v>
      </c>
      <c r="D553" s="194">
        <v>16911</v>
      </c>
      <c r="E553" s="146"/>
      <c r="F553" s="146"/>
      <c r="G553" s="198"/>
      <c r="H553" s="19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</row>
    <row r="554" spans="1:23" ht="15" x14ac:dyDescent="0.4">
      <c r="A554" s="129">
        <v>528864</v>
      </c>
      <c r="B554" s="211">
        <v>42542</v>
      </c>
      <c r="C554" s="193" t="s">
        <v>1249</v>
      </c>
      <c r="D554" s="194">
        <v>93771</v>
      </c>
      <c r="E554" s="146"/>
      <c r="F554" s="146"/>
      <c r="G554" s="198"/>
      <c r="H554" s="19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</row>
    <row r="555" spans="1:23" ht="15" x14ac:dyDescent="0.4">
      <c r="A555" s="129">
        <v>529159</v>
      </c>
      <c r="B555" s="211">
        <v>42542</v>
      </c>
      <c r="C555" s="193" t="s">
        <v>1250</v>
      </c>
      <c r="D555" s="194">
        <v>47917</v>
      </c>
      <c r="E555" s="146"/>
      <c r="F555" s="146"/>
      <c r="G555" s="198"/>
      <c r="H555" s="19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</row>
    <row r="556" spans="1:23" ht="15" x14ac:dyDescent="0.4">
      <c r="A556" s="129">
        <v>529276</v>
      </c>
      <c r="B556" s="211">
        <v>42542</v>
      </c>
      <c r="C556" s="193" t="s">
        <v>1251</v>
      </c>
      <c r="D556" s="194">
        <v>33349</v>
      </c>
      <c r="E556" s="146"/>
      <c r="F556" s="146"/>
      <c r="G556" s="198"/>
      <c r="H556" s="19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</row>
    <row r="557" spans="1:23" ht="15" x14ac:dyDescent="0.4">
      <c r="A557" s="129">
        <v>530060</v>
      </c>
      <c r="B557" s="211">
        <v>42542</v>
      </c>
      <c r="C557" s="193" t="s">
        <v>1252</v>
      </c>
      <c r="D557" s="194">
        <v>25688</v>
      </c>
      <c r="E557" s="146"/>
      <c r="F557" s="146"/>
      <c r="G557" s="198"/>
      <c r="H557" s="19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</row>
    <row r="558" spans="1:23" ht="15" x14ac:dyDescent="0.4">
      <c r="A558" s="129">
        <v>530267</v>
      </c>
      <c r="B558" s="211">
        <v>42542</v>
      </c>
      <c r="C558" s="193" t="s">
        <v>1253</v>
      </c>
      <c r="D558" s="194">
        <v>62071</v>
      </c>
      <c r="E558" s="146"/>
      <c r="F558" s="146"/>
      <c r="G558" s="198"/>
      <c r="H558" s="19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</row>
    <row r="559" spans="1:23" ht="15" x14ac:dyDescent="0.4">
      <c r="A559" s="129">
        <v>530279</v>
      </c>
      <c r="B559" s="211">
        <v>42542</v>
      </c>
      <c r="C559" s="193" t="s">
        <v>1254</v>
      </c>
      <c r="D559" s="194">
        <v>91117</v>
      </c>
      <c r="E559" s="146"/>
      <c r="F559" s="146"/>
      <c r="G559" s="198"/>
      <c r="H559" s="19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</row>
    <row r="560" spans="1:23" ht="15" x14ac:dyDescent="0.4">
      <c r="A560" s="129">
        <v>530763</v>
      </c>
      <c r="B560" s="211">
        <v>42542</v>
      </c>
      <c r="C560" s="193" t="s">
        <v>1255</v>
      </c>
      <c r="D560" s="194">
        <v>19660</v>
      </c>
      <c r="E560" s="146"/>
      <c r="F560" s="146"/>
      <c r="G560" s="198"/>
      <c r="H560" s="19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</row>
    <row r="561" spans="1:23" ht="15" x14ac:dyDescent="0.4">
      <c r="A561" s="129">
        <v>221227</v>
      </c>
      <c r="B561" s="211">
        <v>42543</v>
      </c>
      <c r="C561" s="193" t="s">
        <v>1256</v>
      </c>
      <c r="D561" s="194">
        <v>47244</v>
      </c>
      <c r="E561" s="146"/>
      <c r="F561" s="146"/>
      <c r="G561" s="198"/>
      <c r="H561" s="19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</row>
    <row r="562" spans="1:23" ht="15" x14ac:dyDescent="0.4">
      <c r="A562" s="129">
        <v>222313</v>
      </c>
      <c r="B562" s="211">
        <v>42543</v>
      </c>
      <c r="C562" s="193" t="s">
        <v>1257</v>
      </c>
      <c r="D562" s="194">
        <v>61979</v>
      </c>
      <c r="E562" s="146"/>
      <c r="F562" s="146"/>
      <c r="G562" s="198"/>
      <c r="H562" s="19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</row>
    <row r="563" spans="1:23" ht="15" x14ac:dyDescent="0.4">
      <c r="A563" s="129">
        <v>513722</v>
      </c>
      <c r="B563" s="211">
        <v>42543</v>
      </c>
      <c r="C563" s="193" t="s">
        <v>1258</v>
      </c>
      <c r="D563" s="194">
        <v>86586</v>
      </c>
      <c r="E563" s="146"/>
      <c r="F563" s="146"/>
      <c r="G563" s="198"/>
      <c r="H563" s="19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</row>
    <row r="564" spans="1:23" ht="15" x14ac:dyDescent="0.4">
      <c r="A564" s="129">
        <v>514319</v>
      </c>
      <c r="B564" s="211">
        <v>42543</v>
      </c>
      <c r="C564" s="193" t="s">
        <v>1259</v>
      </c>
      <c r="D564" s="194">
        <v>47477</v>
      </c>
      <c r="E564" s="146"/>
      <c r="F564" s="146"/>
      <c r="G564" s="198"/>
      <c r="H564" s="19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</row>
    <row r="565" spans="1:23" ht="15" x14ac:dyDescent="0.4">
      <c r="A565" s="129">
        <v>515225</v>
      </c>
      <c r="B565" s="211">
        <v>42543</v>
      </c>
      <c r="C565" s="193" t="s">
        <v>1260</v>
      </c>
      <c r="D565" s="194">
        <v>79679</v>
      </c>
      <c r="E565" s="146"/>
      <c r="F565" s="146"/>
      <c r="G565" s="198"/>
      <c r="H565" s="19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</row>
    <row r="566" spans="1:23" ht="15" x14ac:dyDescent="0.4">
      <c r="A566" s="129">
        <v>515926</v>
      </c>
      <c r="B566" s="211">
        <v>42543</v>
      </c>
      <c r="C566" s="193" t="s">
        <v>1261</v>
      </c>
      <c r="D566" s="194">
        <v>65663</v>
      </c>
      <c r="E566" s="146"/>
      <c r="F566" s="146"/>
      <c r="G566" s="198"/>
      <c r="H566" s="19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</row>
    <row r="567" spans="1:23" ht="15" x14ac:dyDescent="0.4">
      <c r="A567" s="129">
        <v>516773</v>
      </c>
      <c r="B567" s="211">
        <v>42543</v>
      </c>
      <c r="C567" s="193" t="s">
        <v>1262</v>
      </c>
      <c r="D567" s="194">
        <v>35671</v>
      </c>
      <c r="E567" s="146"/>
      <c r="F567" s="146"/>
      <c r="G567" s="198"/>
      <c r="H567" s="19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</row>
    <row r="568" spans="1:23" ht="15" x14ac:dyDescent="0.4">
      <c r="A568" s="129">
        <v>517822</v>
      </c>
      <c r="B568" s="211">
        <v>42543</v>
      </c>
      <c r="C568" s="193" t="s">
        <v>1263</v>
      </c>
      <c r="D568" s="194">
        <v>19057</v>
      </c>
      <c r="E568" s="146"/>
      <c r="F568" s="146"/>
      <c r="G568" s="198"/>
      <c r="H568" s="19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</row>
    <row r="569" spans="1:23" ht="15" x14ac:dyDescent="0.4">
      <c r="A569" s="129">
        <v>518654</v>
      </c>
      <c r="B569" s="211">
        <v>42543</v>
      </c>
      <c r="C569" s="193" t="s">
        <v>1264</v>
      </c>
      <c r="D569" s="194">
        <v>66304</v>
      </c>
      <c r="E569" s="146"/>
      <c r="F569" s="146"/>
      <c r="G569" s="198"/>
      <c r="H569" s="19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</row>
    <row r="570" spans="1:23" ht="15" x14ac:dyDescent="0.4">
      <c r="A570" s="129">
        <v>518667</v>
      </c>
      <c r="B570" s="211">
        <v>42543</v>
      </c>
      <c r="C570" s="193" t="s">
        <v>1265</v>
      </c>
      <c r="D570" s="194">
        <v>27807</v>
      </c>
      <c r="E570" s="146"/>
      <c r="F570" s="146"/>
      <c r="G570" s="198"/>
      <c r="H570" s="19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</row>
    <row r="571" spans="1:23" ht="15" x14ac:dyDescent="0.4">
      <c r="A571" s="129">
        <v>519182</v>
      </c>
      <c r="B571" s="211">
        <v>42543</v>
      </c>
      <c r="C571" s="193" t="s">
        <v>1266</v>
      </c>
      <c r="D571" s="194">
        <v>48007</v>
      </c>
      <c r="E571" s="146"/>
      <c r="F571" s="146"/>
      <c r="G571" s="198"/>
      <c r="H571" s="19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</row>
    <row r="572" spans="1:23" ht="15" x14ac:dyDescent="0.4">
      <c r="A572" s="129">
        <v>520673</v>
      </c>
      <c r="B572" s="211">
        <v>42543</v>
      </c>
      <c r="C572" s="193" t="s">
        <v>1267</v>
      </c>
      <c r="D572" s="194">
        <v>71771</v>
      </c>
      <c r="E572" s="146"/>
      <c r="F572" s="146"/>
      <c r="G572" s="198"/>
      <c r="H572" s="19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</row>
    <row r="573" spans="1:23" ht="15" x14ac:dyDescent="0.4">
      <c r="A573" s="129">
        <v>520913</v>
      </c>
      <c r="B573" s="211">
        <v>42543</v>
      </c>
      <c r="C573" s="193" t="s">
        <v>868</v>
      </c>
      <c r="D573" s="194">
        <v>15014</v>
      </c>
      <c r="E573" s="146"/>
      <c r="F573" s="146"/>
      <c r="G573" s="198"/>
      <c r="H573" s="19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</row>
    <row r="574" spans="1:23" ht="15" x14ac:dyDescent="0.4">
      <c r="A574" s="129">
        <v>521476</v>
      </c>
      <c r="B574" s="211">
        <v>42543</v>
      </c>
      <c r="C574" s="193" t="s">
        <v>1268</v>
      </c>
      <c r="D574" s="194">
        <v>46662</v>
      </c>
      <c r="E574" s="146"/>
      <c r="F574" s="146"/>
      <c r="G574" s="198"/>
      <c r="H574" s="19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</row>
    <row r="575" spans="1:23" ht="15" x14ac:dyDescent="0.4">
      <c r="A575" s="129">
        <v>521919</v>
      </c>
      <c r="B575" s="211">
        <v>42543</v>
      </c>
      <c r="C575" s="193" t="s">
        <v>1269</v>
      </c>
      <c r="D575" s="194">
        <v>67017</v>
      </c>
      <c r="E575" s="146"/>
      <c r="F575" s="146"/>
      <c r="G575" s="198"/>
      <c r="H575" s="19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</row>
    <row r="576" spans="1:23" ht="15" x14ac:dyDescent="0.4">
      <c r="A576" s="129">
        <v>521930</v>
      </c>
      <c r="B576" s="211">
        <v>42543</v>
      </c>
      <c r="C576" s="193" t="s">
        <v>1270</v>
      </c>
      <c r="D576" s="194">
        <v>50632</v>
      </c>
      <c r="E576" s="146"/>
      <c r="F576" s="146"/>
      <c r="G576" s="198"/>
      <c r="H576" s="19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</row>
    <row r="577" spans="1:23" ht="15" x14ac:dyDescent="0.4">
      <c r="A577" s="129">
        <v>521951</v>
      </c>
      <c r="B577" s="211">
        <v>42543</v>
      </c>
      <c r="C577" s="193" t="s">
        <v>1271</v>
      </c>
      <c r="D577" s="194">
        <v>77453</v>
      </c>
      <c r="E577" s="146"/>
      <c r="F577" s="146"/>
      <c r="G577" s="198"/>
      <c r="H577" s="19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</row>
    <row r="578" spans="1:23" ht="15" x14ac:dyDescent="0.4">
      <c r="A578" s="129">
        <v>522036</v>
      </c>
      <c r="B578" s="211">
        <v>42543</v>
      </c>
      <c r="C578" s="193" t="s">
        <v>1272</v>
      </c>
      <c r="D578" s="194">
        <v>34658</v>
      </c>
      <c r="E578" s="146"/>
      <c r="F578" s="146"/>
      <c r="G578" s="198"/>
      <c r="H578" s="19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</row>
    <row r="579" spans="1:23" ht="15" x14ac:dyDescent="0.4">
      <c r="A579" s="129">
        <v>522128</v>
      </c>
      <c r="B579" s="211">
        <v>42543</v>
      </c>
      <c r="C579" s="193" t="s">
        <v>1273</v>
      </c>
      <c r="D579" s="194">
        <v>17959</v>
      </c>
      <c r="E579" s="146"/>
      <c r="F579" s="146"/>
      <c r="G579" s="198"/>
      <c r="H579" s="19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</row>
    <row r="580" spans="1:23" ht="15" x14ac:dyDescent="0.4">
      <c r="A580" s="129">
        <v>530249</v>
      </c>
      <c r="B580" s="211">
        <v>42543</v>
      </c>
      <c r="C580" s="193" t="s">
        <v>1274</v>
      </c>
      <c r="D580" s="194">
        <v>93630</v>
      </c>
      <c r="E580" s="146"/>
      <c r="F580" s="146"/>
      <c r="G580" s="198"/>
      <c r="H580" s="19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</row>
    <row r="581" spans="1:23" ht="15" x14ac:dyDescent="0.4">
      <c r="A581" s="129">
        <v>530758</v>
      </c>
      <c r="B581" s="211">
        <v>42543</v>
      </c>
      <c r="C581" s="193" t="s">
        <v>1275</v>
      </c>
      <c r="D581" s="194">
        <v>50468</v>
      </c>
      <c r="E581" s="146"/>
      <c r="F581" s="146"/>
      <c r="G581" s="198"/>
      <c r="H581" s="19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</row>
    <row r="582" spans="1:23" ht="15" x14ac:dyDescent="0.4">
      <c r="A582" s="129">
        <v>213303</v>
      </c>
      <c r="B582" s="211">
        <v>42544</v>
      </c>
      <c r="C582" s="193" t="s">
        <v>1276</v>
      </c>
      <c r="D582" s="194">
        <v>31739</v>
      </c>
      <c r="E582" s="146"/>
      <c r="F582" s="146"/>
      <c r="G582" s="198"/>
      <c r="H582" s="19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</row>
    <row r="583" spans="1:23" ht="15" x14ac:dyDescent="0.4">
      <c r="A583" s="129">
        <v>214010</v>
      </c>
      <c r="B583" s="211">
        <v>42544</v>
      </c>
      <c r="C583" s="193" t="s">
        <v>1277</v>
      </c>
      <c r="D583" s="194">
        <v>26607</v>
      </c>
      <c r="E583" s="146"/>
      <c r="F583" s="146"/>
      <c r="G583" s="198"/>
      <c r="H583" s="19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</row>
    <row r="584" spans="1:23" ht="15" x14ac:dyDescent="0.4">
      <c r="A584" s="129">
        <v>214130</v>
      </c>
      <c r="B584" s="211">
        <v>42544</v>
      </c>
      <c r="C584" s="193" t="s">
        <v>1278</v>
      </c>
      <c r="D584" s="194">
        <v>68577</v>
      </c>
      <c r="E584" s="146"/>
      <c r="F584" s="146"/>
      <c r="G584" s="198"/>
      <c r="H584" s="19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</row>
    <row r="585" spans="1:23" ht="15" x14ac:dyDescent="0.4">
      <c r="A585" s="129">
        <v>217879</v>
      </c>
      <c r="B585" s="211">
        <v>42544</v>
      </c>
      <c r="C585" s="193" t="s">
        <v>1279</v>
      </c>
      <c r="D585" s="194">
        <v>72428</v>
      </c>
      <c r="E585" s="146"/>
      <c r="F585" s="146"/>
      <c r="G585" s="198"/>
      <c r="H585" s="19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</row>
    <row r="586" spans="1:23" ht="15" x14ac:dyDescent="0.4">
      <c r="A586" s="129">
        <v>218151</v>
      </c>
      <c r="B586" s="211">
        <v>42544</v>
      </c>
      <c r="C586" s="193" t="s">
        <v>1280</v>
      </c>
      <c r="D586" s="194">
        <v>88425</v>
      </c>
      <c r="E586" s="146"/>
      <c r="F586" s="146"/>
      <c r="G586" s="198"/>
      <c r="H586" s="19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</row>
    <row r="587" spans="1:23" ht="15" x14ac:dyDescent="0.4">
      <c r="A587" s="129">
        <v>221258</v>
      </c>
      <c r="B587" s="211">
        <v>42544</v>
      </c>
      <c r="C587" s="193" t="s">
        <v>1281</v>
      </c>
      <c r="D587" s="194">
        <v>14625</v>
      </c>
      <c r="E587" s="146"/>
      <c r="F587" s="146"/>
      <c r="G587" s="198"/>
      <c r="H587" s="19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</row>
    <row r="588" spans="1:23" ht="15" x14ac:dyDescent="0.4">
      <c r="A588" s="129">
        <v>221421</v>
      </c>
      <c r="B588" s="211">
        <v>42544</v>
      </c>
      <c r="C588" s="193" t="s">
        <v>1282</v>
      </c>
      <c r="D588" s="194">
        <v>29022</v>
      </c>
      <c r="E588" s="146"/>
      <c r="F588" s="146"/>
      <c r="G588" s="198"/>
      <c r="H588" s="19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</row>
    <row r="589" spans="1:23" ht="15" x14ac:dyDescent="0.4">
      <c r="A589" s="129">
        <v>221865</v>
      </c>
      <c r="B589" s="211">
        <v>42544</v>
      </c>
      <c r="C589" s="193" t="s">
        <v>1283</v>
      </c>
      <c r="D589" s="194">
        <v>26497</v>
      </c>
      <c r="E589" s="146"/>
      <c r="F589" s="146"/>
      <c r="G589" s="198"/>
      <c r="H589" s="19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</row>
    <row r="590" spans="1:23" ht="15" x14ac:dyDescent="0.4">
      <c r="A590" s="129">
        <v>512787</v>
      </c>
      <c r="B590" s="211">
        <v>42544</v>
      </c>
      <c r="C590" s="193" t="s">
        <v>697</v>
      </c>
      <c r="D590" s="194">
        <v>18323</v>
      </c>
      <c r="E590" s="146"/>
      <c r="F590" s="146"/>
      <c r="G590" s="198"/>
      <c r="H590" s="19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</row>
    <row r="591" spans="1:23" ht="15" x14ac:dyDescent="0.4">
      <c r="A591" s="129">
        <v>512830</v>
      </c>
      <c r="B591" s="211">
        <v>42544</v>
      </c>
      <c r="C591" s="193" t="s">
        <v>1284</v>
      </c>
      <c r="D591" s="194">
        <v>72855</v>
      </c>
      <c r="E591" s="146"/>
      <c r="F591" s="146"/>
      <c r="G591" s="198"/>
      <c r="H591" s="19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</row>
    <row r="592" spans="1:23" ht="15" x14ac:dyDescent="0.4">
      <c r="A592" s="129">
        <v>513396</v>
      </c>
      <c r="B592" s="211">
        <v>42544</v>
      </c>
      <c r="C592" s="193" t="s">
        <v>1285</v>
      </c>
      <c r="D592" s="194">
        <v>89217</v>
      </c>
      <c r="E592" s="146"/>
      <c r="F592" s="146"/>
      <c r="G592" s="198"/>
      <c r="H592" s="19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</row>
    <row r="593" spans="1:23" ht="15" x14ac:dyDescent="0.4">
      <c r="A593" s="129">
        <v>514459</v>
      </c>
      <c r="B593" s="211">
        <v>42544</v>
      </c>
      <c r="C593" s="193" t="s">
        <v>1286</v>
      </c>
      <c r="D593" s="194">
        <v>61795</v>
      </c>
      <c r="E593" s="146"/>
      <c r="F593" s="146"/>
      <c r="G593" s="198"/>
      <c r="H593" s="19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</row>
    <row r="594" spans="1:23" ht="15" x14ac:dyDescent="0.4">
      <c r="A594" s="129">
        <v>515610</v>
      </c>
      <c r="B594" s="211">
        <v>42544</v>
      </c>
      <c r="C594" s="193" t="s">
        <v>1287</v>
      </c>
      <c r="D594" s="194">
        <v>92258</v>
      </c>
      <c r="E594" s="146"/>
      <c r="F594" s="146"/>
      <c r="G594" s="198"/>
      <c r="H594" s="19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</row>
    <row r="595" spans="1:23" ht="15" x14ac:dyDescent="0.4">
      <c r="A595" s="129">
        <v>515666</v>
      </c>
      <c r="B595" s="211">
        <v>42544</v>
      </c>
      <c r="C595" s="193" t="s">
        <v>1288</v>
      </c>
      <c r="D595" s="194">
        <v>63829</v>
      </c>
      <c r="E595" s="146"/>
      <c r="F595" s="146"/>
      <c r="G595" s="198"/>
      <c r="H595" s="19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</row>
    <row r="596" spans="1:23" ht="15" x14ac:dyDescent="0.4">
      <c r="A596" s="129">
        <v>516639</v>
      </c>
      <c r="B596" s="211">
        <v>42544</v>
      </c>
      <c r="C596" s="193" t="s">
        <v>1289</v>
      </c>
      <c r="D596" s="194">
        <v>38005</v>
      </c>
      <c r="E596" s="146"/>
      <c r="F596" s="146"/>
      <c r="G596" s="198"/>
      <c r="H596" s="19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</row>
    <row r="597" spans="1:23" ht="15" x14ac:dyDescent="0.4">
      <c r="A597" s="129">
        <v>516662</v>
      </c>
      <c r="B597" s="211">
        <v>42544</v>
      </c>
      <c r="C597" s="193" t="s">
        <v>1290</v>
      </c>
      <c r="D597" s="194">
        <v>19279</v>
      </c>
      <c r="E597" s="146"/>
      <c r="F597" s="146"/>
      <c r="G597" s="198"/>
      <c r="H597" s="19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</row>
    <row r="598" spans="1:23" ht="15" x14ac:dyDescent="0.4">
      <c r="A598" s="129">
        <v>518059</v>
      </c>
      <c r="B598" s="211">
        <v>42544</v>
      </c>
      <c r="C598" s="193" t="s">
        <v>1291</v>
      </c>
      <c r="D598" s="194">
        <v>43050</v>
      </c>
      <c r="E598" s="146"/>
      <c r="F598" s="146"/>
      <c r="G598" s="198"/>
      <c r="H598" s="19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</row>
    <row r="599" spans="1:23" ht="15" x14ac:dyDescent="0.4">
      <c r="A599" s="129">
        <v>518559</v>
      </c>
      <c r="B599" s="211">
        <v>42544</v>
      </c>
      <c r="C599" s="193" t="s">
        <v>1292</v>
      </c>
      <c r="D599" s="194">
        <v>25199</v>
      </c>
      <c r="E599" s="146"/>
      <c r="F599" s="146"/>
      <c r="G599" s="198"/>
      <c r="H599" s="19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</row>
    <row r="600" spans="1:23" ht="15" x14ac:dyDescent="0.4">
      <c r="A600" s="129">
        <v>518982</v>
      </c>
      <c r="B600" s="211">
        <v>42544</v>
      </c>
      <c r="C600" s="193" t="s">
        <v>1293</v>
      </c>
      <c r="D600" s="194">
        <v>24491</v>
      </c>
      <c r="E600" s="146"/>
      <c r="F600" s="146"/>
      <c r="G600" s="198"/>
      <c r="H600" s="19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</row>
    <row r="601" spans="1:23" ht="15" x14ac:dyDescent="0.4">
      <c r="A601" s="129">
        <v>519168</v>
      </c>
      <c r="B601" s="211">
        <v>42544</v>
      </c>
      <c r="C601" s="193" t="s">
        <v>1294</v>
      </c>
      <c r="D601" s="194">
        <v>20812</v>
      </c>
      <c r="E601" s="146"/>
      <c r="F601" s="146"/>
      <c r="G601" s="198"/>
      <c r="H601" s="19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</row>
    <row r="602" spans="1:23" ht="15" x14ac:dyDescent="0.4">
      <c r="A602" s="129">
        <v>519973</v>
      </c>
      <c r="B602" s="211">
        <v>42544</v>
      </c>
      <c r="C602" s="193" t="s">
        <v>1295</v>
      </c>
      <c r="D602" s="194">
        <v>68164</v>
      </c>
      <c r="E602" s="146"/>
      <c r="F602" s="146"/>
      <c r="G602" s="198"/>
      <c r="H602" s="19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</row>
    <row r="603" spans="1:23" ht="15" x14ac:dyDescent="0.4">
      <c r="A603" s="129">
        <v>520686</v>
      </c>
      <c r="B603" s="211">
        <v>42544</v>
      </c>
      <c r="C603" s="193" t="s">
        <v>1296</v>
      </c>
      <c r="D603" s="194">
        <v>20927</v>
      </c>
      <c r="E603" s="146"/>
      <c r="F603" s="146"/>
      <c r="G603" s="198"/>
      <c r="H603" s="19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</row>
    <row r="604" spans="1:23" ht="15" x14ac:dyDescent="0.4">
      <c r="A604" s="129">
        <v>520708</v>
      </c>
      <c r="B604" s="211">
        <v>42544</v>
      </c>
      <c r="C604" s="193" t="s">
        <v>1297</v>
      </c>
      <c r="D604" s="194">
        <v>77352</v>
      </c>
      <c r="E604" s="146"/>
      <c r="F604" s="146"/>
      <c r="G604" s="198"/>
      <c r="H604" s="19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</row>
    <row r="605" spans="1:23" ht="15" x14ac:dyDescent="0.4">
      <c r="A605" s="129">
        <v>520887</v>
      </c>
      <c r="B605" s="211">
        <v>42544</v>
      </c>
      <c r="C605" s="193" t="s">
        <v>1298</v>
      </c>
      <c r="D605" s="194">
        <v>23780</v>
      </c>
      <c r="E605" s="146"/>
      <c r="F605" s="146"/>
      <c r="G605" s="198"/>
      <c r="H605" s="19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</row>
    <row r="606" spans="1:23" ht="15" x14ac:dyDescent="0.4">
      <c r="A606" s="129">
        <v>520939</v>
      </c>
      <c r="B606" s="211">
        <v>42544</v>
      </c>
      <c r="C606" s="193" t="s">
        <v>1299</v>
      </c>
      <c r="D606" s="194">
        <v>84295</v>
      </c>
      <c r="E606" s="146"/>
      <c r="F606" s="146"/>
      <c r="G606" s="198"/>
      <c r="H606" s="19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</row>
    <row r="607" spans="1:23" ht="15" x14ac:dyDescent="0.4">
      <c r="A607" s="129">
        <v>528869</v>
      </c>
      <c r="B607" s="211">
        <v>42544</v>
      </c>
      <c r="C607" s="193" t="s">
        <v>1300</v>
      </c>
      <c r="D607" s="194">
        <v>58105</v>
      </c>
      <c r="E607" s="146"/>
      <c r="F607" s="146"/>
      <c r="G607" s="198"/>
      <c r="H607" s="19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</row>
    <row r="608" spans="1:23" ht="15" x14ac:dyDescent="0.4">
      <c r="A608" s="129">
        <v>529280</v>
      </c>
      <c r="B608" s="211">
        <v>42544</v>
      </c>
      <c r="C608" s="193" t="s">
        <v>1301</v>
      </c>
      <c r="D608" s="194">
        <v>68442</v>
      </c>
      <c r="E608" s="146"/>
      <c r="F608" s="146"/>
      <c r="G608" s="198"/>
      <c r="H608" s="19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</row>
    <row r="609" spans="1:23" ht="15" x14ac:dyDescent="0.4">
      <c r="A609" s="129">
        <v>530066</v>
      </c>
      <c r="B609" s="211">
        <v>42544</v>
      </c>
      <c r="C609" s="193" t="s">
        <v>1302</v>
      </c>
      <c r="D609" s="194">
        <v>99290</v>
      </c>
      <c r="E609" s="146"/>
      <c r="F609" s="146"/>
      <c r="G609" s="198"/>
      <c r="H609" s="19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</row>
    <row r="610" spans="1:23" ht="15" x14ac:dyDescent="0.4">
      <c r="A610" s="129">
        <v>530258</v>
      </c>
      <c r="B610" s="211">
        <v>42544</v>
      </c>
      <c r="C610" s="193" t="s">
        <v>1303</v>
      </c>
      <c r="D610" s="194">
        <v>15853</v>
      </c>
      <c r="E610" s="146"/>
      <c r="F610" s="146"/>
      <c r="G610" s="198"/>
      <c r="H610" s="19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</row>
    <row r="611" spans="1:23" ht="15" x14ac:dyDescent="0.4">
      <c r="A611" s="129">
        <v>530265</v>
      </c>
      <c r="B611" s="211">
        <v>42544</v>
      </c>
      <c r="C611" s="193" t="s">
        <v>1304</v>
      </c>
      <c r="D611" s="194">
        <v>56353</v>
      </c>
      <c r="E611" s="146"/>
      <c r="F611" s="146"/>
      <c r="G611" s="198"/>
      <c r="H611" s="19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</row>
    <row r="612" spans="1:23" ht="15" x14ac:dyDescent="0.4">
      <c r="A612" s="129">
        <v>530268</v>
      </c>
      <c r="B612" s="211">
        <v>42544</v>
      </c>
      <c r="C612" s="193" t="s">
        <v>1305</v>
      </c>
      <c r="D612" s="194">
        <v>55920</v>
      </c>
      <c r="E612" s="146"/>
      <c r="F612" s="146"/>
      <c r="G612" s="198"/>
      <c r="H612" s="19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</row>
    <row r="613" spans="1:23" ht="15" x14ac:dyDescent="0.4">
      <c r="A613" s="129">
        <v>214001</v>
      </c>
      <c r="B613" s="211">
        <v>42545</v>
      </c>
      <c r="C613" s="193" t="s">
        <v>1306</v>
      </c>
      <c r="D613" s="194">
        <v>28374</v>
      </c>
      <c r="E613" s="146"/>
      <c r="F613" s="146"/>
      <c r="G613" s="198"/>
      <c r="H613" s="19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</row>
    <row r="614" spans="1:23" ht="15" x14ac:dyDescent="0.4">
      <c r="A614" s="129">
        <v>218718</v>
      </c>
      <c r="B614" s="211">
        <v>42545</v>
      </c>
      <c r="C614" s="193" t="s">
        <v>1307</v>
      </c>
      <c r="D614" s="194">
        <v>62276</v>
      </c>
      <c r="E614" s="146"/>
      <c r="F614" s="146"/>
      <c r="G614" s="198"/>
      <c r="H614" s="19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</row>
    <row r="615" spans="1:23" ht="15" x14ac:dyDescent="0.4">
      <c r="A615" s="129">
        <v>219527</v>
      </c>
      <c r="B615" s="211">
        <v>42545</v>
      </c>
      <c r="C615" s="193" t="s">
        <v>1308</v>
      </c>
      <c r="D615" s="194">
        <v>27393</v>
      </c>
      <c r="E615" s="146"/>
      <c r="F615" s="146"/>
      <c r="G615" s="198"/>
      <c r="H615" s="19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</row>
    <row r="616" spans="1:23" ht="15" x14ac:dyDescent="0.4">
      <c r="A616" s="129">
        <v>221800</v>
      </c>
      <c r="B616" s="211">
        <v>42545</v>
      </c>
      <c r="C616" s="193" t="s">
        <v>1309</v>
      </c>
      <c r="D616" s="194">
        <v>69670</v>
      </c>
      <c r="E616" s="146"/>
      <c r="F616" s="146"/>
      <c r="G616" s="198"/>
      <c r="H616" s="19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</row>
    <row r="617" spans="1:23" ht="15" x14ac:dyDescent="0.4">
      <c r="A617" s="129">
        <v>513410</v>
      </c>
      <c r="B617" s="211">
        <v>42545</v>
      </c>
      <c r="C617" s="193" t="s">
        <v>1310</v>
      </c>
      <c r="D617" s="194">
        <v>57047</v>
      </c>
      <c r="E617" s="146"/>
      <c r="F617" s="146"/>
      <c r="G617" s="198"/>
      <c r="H617" s="19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</row>
    <row r="618" spans="1:23" ht="15" x14ac:dyDescent="0.4">
      <c r="A618" s="129">
        <v>515210</v>
      </c>
      <c r="B618" s="211">
        <v>42545</v>
      </c>
      <c r="C618" s="193" t="s">
        <v>1311</v>
      </c>
      <c r="D618" s="194">
        <v>13632</v>
      </c>
      <c r="E618" s="146"/>
      <c r="F618" s="146"/>
      <c r="G618" s="198"/>
      <c r="H618" s="19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</row>
    <row r="619" spans="1:23" ht="15" x14ac:dyDescent="0.4">
      <c r="A619" s="129">
        <v>515213</v>
      </c>
      <c r="B619" s="211">
        <v>42545</v>
      </c>
      <c r="C619" s="193" t="s">
        <v>1312</v>
      </c>
      <c r="D619" s="194">
        <v>33639</v>
      </c>
      <c r="E619" s="146"/>
      <c r="F619" s="146"/>
      <c r="G619" s="198"/>
      <c r="H619" s="19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</row>
    <row r="620" spans="1:23" ht="15" x14ac:dyDescent="0.4">
      <c r="A620" s="129">
        <v>515533</v>
      </c>
      <c r="B620" s="211">
        <v>42545</v>
      </c>
      <c r="C620" s="193" t="s">
        <v>1313</v>
      </c>
      <c r="D620" s="194">
        <v>41072</v>
      </c>
      <c r="E620" s="146"/>
      <c r="F620" s="146"/>
      <c r="G620" s="198"/>
      <c r="H620" s="19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</row>
    <row r="621" spans="1:23" ht="15" x14ac:dyDescent="0.4">
      <c r="A621" s="129">
        <v>516665</v>
      </c>
      <c r="B621" s="211">
        <v>42545</v>
      </c>
      <c r="C621" s="193" t="s">
        <v>1314</v>
      </c>
      <c r="D621" s="194">
        <v>82279</v>
      </c>
      <c r="E621" s="146"/>
      <c r="F621" s="146"/>
      <c r="G621" s="198"/>
      <c r="H621" s="19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</row>
    <row r="622" spans="1:23" ht="15" x14ac:dyDescent="0.4">
      <c r="A622" s="129">
        <v>518073</v>
      </c>
      <c r="B622" s="211">
        <v>42545</v>
      </c>
      <c r="C622" s="193" t="s">
        <v>1315</v>
      </c>
      <c r="D622" s="194">
        <v>76436</v>
      </c>
      <c r="E622" s="146"/>
      <c r="F622" s="146"/>
      <c r="G622" s="198"/>
      <c r="H622" s="19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</row>
    <row r="623" spans="1:23" ht="15" x14ac:dyDescent="0.4">
      <c r="A623" s="129">
        <v>519179</v>
      </c>
      <c r="B623" s="211">
        <v>42545</v>
      </c>
      <c r="C623" s="193" t="s">
        <v>1316</v>
      </c>
      <c r="D623" s="194">
        <v>29468</v>
      </c>
      <c r="E623" s="146"/>
      <c r="F623" s="146"/>
      <c r="G623" s="198"/>
      <c r="H623" s="19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</row>
    <row r="624" spans="1:23" ht="15" x14ac:dyDescent="0.4">
      <c r="A624" s="129">
        <v>519571</v>
      </c>
      <c r="B624" s="211">
        <v>42545</v>
      </c>
      <c r="C624" s="193" t="s">
        <v>1317</v>
      </c>
      <c r="D624" s="194">
        <v>56445</v>
      </c>
      <c r="E624" s="146"/>
      <c r="F624" s="146"/>
      <c r="G624" s="198"/>
      <c r="H624" s="19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</row>
    <row r="625" spans="1:23" ht="15" x14ac:dyDescent="0.4">
      <c r="A625" s="129">
        <v>519723</v>
      </c>
      <c r="B625" s="211">
        <v>42545</v>
      </c>
      <c r="C625" s="193" t="s">
        <v>1318</v>
      </c>
      <c r="D625" s="194">
        <v>90067</v>
      </c>
      <c r="E625" s="146"/>
      <c r="F625" s="146"/>
      <c r="G625" s="198"/>
      <c r="H625" s="19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</row>
    <row r="626" spans="1:23" ht="15" x14ac:dyDescent="0.4">
      <c r="A626" s="129">
        <v>519738</v>
      </c>
      <c r="B626" s="211">
        <v>42545</v>
      </c>
      <c r="C626" s="193" t="s">
        <v>1319</v>
      </c>
      <c r="D626" s="194">
        <v>94720</v>
      </c>
      <c r="E626" s="146"/>
      <c r="F626" s="146"/>
      <c r="G626" s="198"/>
      <c r="H626" s="19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</row>
    <row r="627" spans="1:23" ht="15" x14ac:dyDescent="0.4">
      <c r="A627" s="129">
        <v>519745</v>
      </c>
      <c r="B627" s="211">
        <v>42545</v>
      </c>
      <c r="C627" s="193" t="s">
        <v>1320</v>
      </c>
      <c r="D627" s="194">
        <v>24604</v>
      </c>
      <c r="E627" s="146"/>
      <c r="F627" s="146"/>
      <c r="G627" s="198"/>
      <c r="H627" s="19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</row>
    <row r="628" spans="1:23" ht="15" x14ac:dyDescent="0.4">
      <c r="A628" s="129">
        <v>520768</v>
      </c>
      <c r="B628" s="211">
        <v>42545</v>
      </c>
      <c r="C628" s="193" t="s">
        <v>1321</v>
      </c>
      <c r="D628" s="194">
        <v>36214</v>
      </c>
      <c r="E628" s="146"/>
      <c r="F628" s="146"/>
      <c r="G628" s="198"/>
      <c r="H628" s="19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</row>
    <row r="629" spans="1:23" ht="15" x14ac:dyDescent="0.4">
      <c r="A629" s="129">
        <v>521533</v>
      </c>
      <c r="B629" s="211">
        <v>42545</v>
      </c>
      <c r="C629" s="193" t="s">
        <v>1322</v>
      </c>
      <c r="D629" s="194">
        <v>89729</v>
      </c>
      <c r="E629" s="146"/>
      <c r="F629" s="146"/>
      <c r="G629" s="198"/>
      <c r="H629" s="19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</row>
    <row r="630" spans="1:23" ht="15" x14ac:dyDescent="0.4">
      <c r="A630" s="129">
        <v>521752</v>
      </c>
      <c r="B630" s="211">
        <v>42545</v>
      </c>
      <c r="C630" s="193" t="s">
        <v>1323</v>
      </c>
      <c r="D630" s="194">
        <v>46479</v>
      </c>
      <c r="E630" s="146"/>
      <c r="F630" s="146"/>
      <c r="G630" s="198"/>
      <c r="H630" s="19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</row>
    <row r="631" spans="1:23" ht="15" x14ac:dyDescent="0.4">
      <c r="A631" s="129">
        <v>521754</v>
      </c>
      <c r="B631" s="211">
        <v>42545</v>
      </c>
      <c r="C631" s="193" t="s">
        <v>1324</v>
      </c>
      <c r="D631" s="194">
        <v>40361</v>
      </c>
      <c r="E631" s="146"/>
      <c r="F631" s="146"/>
      <c r="G631" s="198"/>
      <c r="H631" s="19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</row>
    <row r="632" spans="1:23" ht="15" x14ac:dyDescent="0.4">
      <c r="A632" s="129">
        <v>521807</v>
      </c>
      <c r="B632" s="211">
        <v>42545</v>
      </c>
      <c r="C632" s="193" t="s">
        <v>1325</v>
      </c>
      <c r="D632" s="194">
        <v>18356</v>
      </c>
      <c r="E632" s="146"/>
      <c r="F632" s="146"/>
      <c r="G632" s="198"/>
      <c r="H632" s="19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</row>
    <row r="633" spans="1:23" ht="15" x14ac:dyDescent="0.4">
      <c r="A633" s="129">
        <v>521955</v>
      </c>
      <c r="B633" s="211">
        <v>42545</v>
      </c>
      <c r="C633" s="193" t="s">
        <v>1326</v>
      </c>
      <c r="D633" s="194">
        <v>76499</v>
      </c>
      <c r="E633" s="146"/>
      <c r="F633" s="146"/>
      <c r="G633" s="198"/>
      <c r="H633" s="19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</row>
    <row r="634" spans="1:23" ht="15" x14ac:dyDescent="0.4">
      <c r="A634" s="129">
        <v>522042</v>
      </c>
      <c r="B634" s="211">
        <v>42545</v>
      </c>
      <c r="C634" s="193" t="s">
        <v>1327</v>
      </c>
      <c r="D634" s="194">
        <v>35291</v>
      </c>
      <c r="E634" s="146"/>
      <c r="F634" s="146"/>
      <c r="G634" s="198"/>
      <c r="H634" s="19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</row>
    <row r="635" spans="1:23" ht="15" x14ac:dyDescent="0.4">
      <c r="A635" s="129">
        <v>522249</v>
      </c>
      <c r="B635" s="211">
        <v>42545</v>
      </c>
      <c r="C635" s="193" t="s">
        <v>1328</v>
      </c>
      <c r="D635" s="194">
        <v>42722</v>
      </c>
      <c r="E635" s="146"/>
      <c r="F635" s="146"/>
      <c r="G635" s="198"/>
      <c r="H635" s="19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</row>
    <row r="636" spans="1:23" ht="15" x14ac:dyDescent="0.4">
      <c r="A636" s="129">
        <v>528519</v>
      </c>
      <c r="B636" s="211">
        <v>42545</v>
      </c>
      <c r="C636" s="193" t="s">
        <v>1329</v>
      </c>
      <c r="D636" s="194">
        <v>63224</v>
      </c>
      <c r="E636" s="146"/>
      <c r="F636" s="146"/>
      <c r="G636" s="198"/>
      <c r="H636" s="19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</row>
    <row r="637" spans="1:23" ht="15" x14ac:dyDescent="0.4">
      <c r="A637" s="129">
        <v>530257</v>
      </c>
      <c r="B637" s="211">
        <v>42545</v>
      </c>
      <c r="C637" s="193" t="s">
        <v>1330</v>
      </c>
      <c r="D637" s="194">
        <v>78692</v>
      </c>
      <c r="E637" s="146"/>
      <c r="F637" s="146"/>
      <c r="G637" s="198"/>
      <c r="H637" s="19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</row>
    <row r="638" spans="1:23" ht="15" x14ac:dyDescent="0.4">
      <c r="A638" s="129">
        <v>530875</v>
      </c>
      <c r="B638" s="211">
        <v>42545</v>
      </c>
      <c r="C638" s="193" t="s">
        <v>1331</v>
      </c>
      <c r="D638" s="194">
        <v>80485</v>
      </c>
      <c r="E638" s="146"/>
      <c r="F638" s="146"/>
      <c r="G638" s="198"/>
      <c r="H638" s="19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</row>
    <row r="639" spans="1:23" ht="15" x14ac:dyDescent="0.4">
      <c r="A639" s="129">
        <v>530887</v>
      </c>
      <c r="B639" s="211">
        <v>42545</v>
      </c>
      <c r="C639" s="193" t="s">
        <v>1332</v>
      </c>
      <c r="D639" s="194">
        <v>84314</v>
      </c>
      <c r="E639" s="146"/>
      <c r="F639" s="146"/>
      <c r="G639" s="198"/>
      <c r="H639" s="19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</row>
    <row r="640" spans="1:23" ht="15" x14ac:dyDescent="0.4">
      <c r="A640" s="129">
        <v>220705</v>
      </c>
      <c r="B640" s="211">
        <v>42546</v>
      </c>
      <c r="C640" s="193" t="s">
        <v>1333</v>
      </c>
      <c r="D640" s="194">
        <v>17828</v>
      </c>
      <c r="E640" s="146"/>
      <c r="F640" s="146"/>
      <c r="G640" s="198"/>
      <c r="H640" s="19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</row>
    <row r="641" spans="1:23" ht="15" x14ac:dyDescent="0.4">
      <c r="A641" s="129">
        <v>222272</v>
      </c>
      <c r="B641" s="211">
        <v>42546</v>
      </c>
      <c r="C641" s="193" t="s">
        <v>1334</v>
      </c>
      <c r="D641" s="194">
        <v>27207</v>
      </c>
      <c r="E641" s="146"/>
      <c r="F641" s="146"/>
      <c r="G641" s="198"/>
      <c r="H641" s="19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</row>
    <row r="642" spans="1:23" ht="15" x14ac:dyDescent="0.4">
      <c r="A642" s="129">
        <v>513399</v>
      </c>
      <c r="B642" s="211">
        <v>42546</v>
      </c>
      <c r="C642" s="193" t="s">
        <v>1335</v>
      </c>
      <c r="D642" s="194">
        <v>96988</v>
      </c>
      <c r="E642" s="146"/>
      <c r="F642" s="146"/>
      <c r="G642" s="198"/>
      <c r="H642" s="19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</row>
    <row r="643" spans="1:23" ht="15" x14ac:dyDescent="0.4">
      <c r="A643" s="129">
        <v>513512</v>
      </c>
      <c r="B643" s="211">
        <v>42546</v>
      </c>
      <c r="C643" s="193" t="s">
        <v>1336</v>
      </c>
      <c r="D643" s="194">
        <v>40420</v>
      </c>
      <c r="E643" s="146"/>
      <c r="F643" s="146"/>
      <c r="G643" s="198"/>
      <c r="H643" s="19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</row>
    <row r="644" spans="1:23" ht="15" x14ac:dyDescent="0.4">
      <c r="A644" s="129">
        <v>514304</v>
      </c>
      <c r="B644" s="211">
        <v>42546</v>
      </c>
      <c r="C644" s="193" t="s">
        <v>1337</v>
      </c>
      <c r="D644" s="194">
        <v>75710</v>
      </c>
      <c r="E644" s="146"/>
      <c r="F644" s="146"/>
      <c r="G644" s="198"/>
      <c r="H644" s="19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</row>
    <row r="645" spans="1:23" ht="15" x14ac:dyDescent="0.4">
      <c r="A645" s="129">
        <v>516142</v>
      </c>
      <c r="B645" s="211">
        <v>42546</v>
      </c>
      <c r="C645" s="193" t="s">
        <v>1338</v>
      </c>
      <c r="D645" s="194">
        <v>14648</v>
      </c>
      <c r="E645" s="146"/>
      <c r="F645" s="146"/>
      <c r="G645" s="198"/>
      <c r="H645" s="19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</row>
    <row r="646" spans="1:23" ht="15" x14ac:dyDescent="0.4">
      <c r="A646" s="129">
        <v>516265</v>
      </c>
      <c r="B646" s="211">
        <v>42546</v>
      </c>
      <c r="C646" s="193" t="s">
        <v>1339</v>
      </c>
      <c r="D646" s="194">
        <v>62752</v>
      </c>
      <c r="E646" s="146"/>
      <c r="F646" s="146"/>
      <c r="G646" s="198"/>
      <c r="H646" s="19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</row>
    <row r="647" spans="1:23" ht="15" x14ac:dyDescent="0.4">
      <c r="A647" s="129">
        <v>516291</v>
      </c>
      <c r="B647" s="211">
        <v>42546</v>
      </c>
      <c r="C647" s="193" t="s">
        <v>1340</v>
      </c>
      <c r="D647" s="194">
        <v>21224</v>
      </c>
      <c r="E647" s="146"/>
      <c r="F647" s="146"/>
      <c r="G647" s="198"/>
      <c r="H647" s="19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</row>
    <row r="648" spans="1:23" ht="15" x14ac:dyDescent="0.4">
      <c r="A648" s="129">
        <v>516760</v>
      </c>
      <c r="B648" s="211">
        <v>42546</v>
      </c>
      <c r="C648" s="193" t="s">
        <v>1341</v>
      </c>
      <c r="D648" s="194">
        <v>88389</v>
      </c>
      <c r="E648" s="146"/>
      <c r="F648" s="146"/>
      <c r="G648" s="198"/>
      <c r="H648" s="19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</row>
    <row r="649" spans="1:23" ht="15" x14ac:dyDescent="0.4">
      <c r="A649" s="129">
        <v>517759</v>
      </c>
      <c r="B649" s="211">
        <v>42546</v>
      </c>
      <c r="C649" s="193" t="s">
        <v>1342</v>
      </c>
      <c r="D649" s="194">
        <v>96754</v>
      </c>
      <c r="E649" s="146"/>
      <c r="F649" s="146"/>
      <c r="G649" s="198"/>
      <c r="H649" s="19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</row>
    <row r="650" spans="1:23" ht="15" x14ac:dyDescent="0.4">
      <c r="A650" s="129">
        <v>518056</v>
      </c>
      <c r="B650" s="211">
        <v>42546</v>
      </c>
      <c r="C650" s="193" t="s">
        <v>1343</v>
      </c>
      <c r="D650" s="194">
        <v>72021</v>
      </c>
      <c r="E650" s="146"/>
      <c r="F650" s="146"/>
      <c r="G650" s="198"/>
      <c r="H650" s="19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</row>
    <row r="651" spans="1:23" ht="15" x14ac:dyDescent="0.4">
      <c r="A651" s="129">
        <v>518556</v>
      </c>
      <c r="B651" s="211">
        <v>42546</v>
      </c>
      <c r="C651" s="193" t="s">
        <v>1344</v>
      </c>
      <c r="D651" s="194">
        <v>57328</v>
      </c>
      <c r="E651" s="146"/>
      <c r="F651" s="146"/>
      <c r="G651" s="198"/>
      <c r="H651" s="19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</row>
    <row r="652" spans="1:23" ht="15" x14ac:dyDescent="0.4">
      <c r="A652" s="129">
        <v>519169</v>
      </c>
      <c r="B652" s="211">
        <v>42546</v>
      </c>
      <c r="C652" s="193" t="s">
        <v>787</v>
      </c>
      <c r="D652" s="194">
        <v>42400</v>
      </c>
      <c r="E652" s="146"/>
      <c r="F652" s="146"/>
      <c r="G652" s="198"/>
      <c r="H652" s="19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</row>
    <row r="653" spans="1:23" ht="15" x14ac:dyDescent="0.4">
      <c r="A653" s="129">
        <v>519646</v>
      </c>
      <c r="B653" s="211">
        <v>42546</v>
      </c>
      <c r="C653" s="193" t="s">
        <v>1345</v>
      </c>
      <c r="D653" s="194">
        <v>77597</v>
      </c>
      <c r="E653" s="146"/>
      <c r="F653" s="146"/>
      <c r="G653" s="198"/>
      <c r="H653" s="19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</row>
    <row r="654" spans="1:23" ht="15" x14ac:dyDescent="0.4">
      <c r="A654" s="129">
        <v>521766</v>
      </c>
      <c r="B654" s="211">
        <v>42546</v>
      </c>
      <c r="C654" s="193" t="s">
        <v>1346</v>
      </c>
      <c r="D654" s="194">
        <v>47891</v>
      </c>
      <c r="E654" s="146"/>
      <c r="F654" s="146"/>
      <c r="G654" s="198"/>
      <c r="H654" s="19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</row>
    <row r="655" spans="1:23" ht="15" x14ac:dyDescent="0.4">
      <c r="A655" s="129">
        <v>530256</v>
      </c>
      <c r="B655" s="211">
        <v>42546</v>
      </c>
      <c r="C655" s="193" t="s">
        <v>1347</v>
      </c>
      <c r="D655" s="194">
        <v>80762</v>
      </c>
      <c r="E655" s="146"/>
      <c r="F655" s="146"/>
      <c r="G655" s="198"/>
      <c r="H655" s="19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</row>
    <row r="656" spans="1:23" ht="15" x14ac:dyDescent="0.4">
      <c r="A656" s="129">
        <v>530263</v>
      </c>
      <c r="B656" s="211">
        <v>42546</v>
      </c>
      <c r="C656" s="193" t="s">
        <v>1348</v>
      </c>
      <c r="D656" s="194">
        <v>68448</v>
      </c>
      <c r="E656" s="146"/>
      <c r="F656" s="146"/>
      <c r="G656" s="198"/>
      <c r="H656" s="19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</row>
    <row r="657" spans="1:23" ht="15" x14ac:dyDescent="0.4">
      <c r="A657" s="129">
        <v>530753</v>
      </c>
      <c r="B657" s="211">
        <v>42546</v>
      </c>
      <c r="C657" s="193" t="s">
        <v>1349</v>
      </c>
      <c r="D657" s="194">
        <v>33454</v>
      </c>
      <c r="E657" s="146"/>
      <c r="F657" s="146"/>
      <c r="G657" s="198"/>
      <c r="H657" s="19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</row>
    <row r="658" spans="1:23" ht="15" x14ac:dyDescent="0.4">
      <c r="A658" s="129">
        <v>220537</v>
      </c>
      <c r="B658" s="211">
        <v>42547</v>
      </c>
      <c r="C658" s="193" t="s">
        <v>1350</v>
      </c>
      <c r="D658" s="194">
        <v>21553</v>
      </c>
      <c r="E658" s="146"/>
      <c r="F658" s="146"/>
      <c r="G658" s="198"/>
      <c r="H658" s="19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</row>
    <row r="659" spans="1:23" ht="15" x14ac:dyDescent="0.4">
      <c r="A659" s="129">
        <v>221784</v>
      </c>
      <c r="B659" s="211">
        <v>42547</v>
      </c>
      <c r="C659" s="193" t="s">
        <v>1351</v>
      </c>
      <c r="D659" s="194">
        <v>92263</v>
      </c>
      <c r="E659" s="146"/>
      <c r="F659" s="146"/>
      <c r="G659" s="198"/>
      <c r="H659" s="19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</row>
    <row r="660" spans="1:23" ht="15" x14ac:dyDescent="0.4">
      <c r="A660" s="129">
        <v>222593</v>
      </c>
      <c r="B660" s="211">
        <v>42547</v>
      </c>
      <c r="C660" s="193" t="s">
        <v>1352</v>
      </c>
      <c r="D660" s="194">
        <v>94644</v>
      </c>
      <c r="E660" s="146"/>
      <c r="F660" s="146"/>
      <c r="G660" s="198"/>
      <c r="H660" s="19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</row>
    <row r="661" spans="1:23" ht="15" x14ac:dyDescent="0.4">
      <c r="A661" s="129">
        <v>222598</v>
      </c>
      <c r="B661" s="211">
        <v>42547</v>
      </c>
      <c r="C661" s="193" t="s">
        <v>1353</v>
      </c>
      <c r="D661" s="194">
        <v>72532</v>
      </c>
      <c r="E661" s="146"/>
      <c r="F661" s="146"/>
      <c r="G661" s="198"/>
      <c r="H661" s="19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</row>
    <row r="662" spans="1:23" ht="15" x14ac:dyDescent="0.4">
      <c r="A662" s="129">
        <v>513378</v>
      </c>
      <c r="B662" s="211">
        <v>42547</v>
      </c>
      <c r="C662" s="193" t="s">
        <v>1354</v>
      </c>
      <c r="D662" s="194">
        <v>14107</v>
      </c>
      <c r="E662" s="146"/>
      <c r="F662" s="146"/>
      <c r="G662" s="198"/>
      <c r="H662" s="19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</row>
    <row r="663" spans="1:23" ht="15" x14ac:dyDescent="0.4">
      <c r="A663" s="129">
        <v>515155</v>
      </c>
      <c r="B663" s="211">
        <v>42547</v>
      </c>
      <c r="C663" s="193" t="s">
        <v>1355</v>
      </c>
      <c r="D663" s="194">
        <v>61877</v>
      </c>
      <c r="E663" s="146"/>
      <c r="F663" s="146"/>
      <c r="G663" s="198"/>
      <c r="H663" s="19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</row>
    <row r="664" spans="1:23" ht="15" x14ac:dyDescent="0.4">
      <c r="A664" s="129">
        <v>515524</v>
      </c>
      <c r="B664" s="211">
        <v>42547</v>
      </c>
      <c r="C664" s="193" t="s">
        <v>1356</v>
      </c>
      <c r="D664" s="194">
        <v>27529</v>
      </c>
      <c r="E664" s="146"/>
      <c r="F664" s="146"/>
      <c r="G664" s="198"/>
      <c r="H664" s="19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</row>
    <row r="665" spans="1:23" ht="15" x14ac:dyDescent="0.4">
      <c r="A665" s="129">
        <v>515947</v>
      </c>
      <c r="B665" s="211">
        <v>42547</v>
      </c>
      <c r="C665" s="193" t="s">
        <v>1357</v>
      </c>
      <c r="D665" s="194">
        <v>47152</v>
      </c>
      <c r="E665" s="146"/>
      <c r="F665" s="146"/>
      <c r="G665" s="198"/>
      <c r="H665" s="19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</row>
    <row r="666" spans="1:23" ht="15" x14ac:dyDescent="0.4">
      <c r="A666" s="129">
        <v>516516</v>
      </c>
      <c r="B666" s="211">
        <v>42547</v>
      </c>
      <c r="C666" s="193" t="s">
        <v>1358</v>
      </c>
      <c r="D666" s="194">
        <v>33109</v>
      </c>
      <c r="E666" s="146"/>
      <c r="F666" s="146"/>
      <c r="G666" s="198"/>
      <c r="H666" s="19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</row>
    <row r="667" spans="1:23" ht="15" x14ac:dyDescent="0.4">
      <c r="A667" s="129">
        <v>516708</v>
      </c>
      <c r="B667" s="211">
        <v>42547</v>
      </c>
      <c r="C667" s="193" t="s">
        <v>1359</v>
      </c>
      <c r="D667" s="194">
        <v>83286</v>
      </c>
      <c r="E667" s="146"/>
      <c r="F667" s="146"/>
      <c r="G667" s="198"/>
      <c r="H667" s="19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</row>
    <row r="668" spans="1:23" ht="15" x14ac:dyDescent="0.4">
      <c r="A668" s="129">
        <v>516740</v>
      </c>
      <c r="B668" s="211">
        <v>42547</v>
      </c>
      <c r="C668" s="193" t="s">
        <v>1360</v>
      </c>
      <c r="D668" s="194">
        <v>45533</v>
      </c>
      <c r="E668" s="146"/>
      <c r="F668" s="146"/>
      <c r="G668" s="198"/>
      <c r="H668" s="19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</row>
    <row r="669" spans="1:23" ht="15" x14ac:dyDescent="0.4">
      <c r="A669" s="129">
        <v>516756</v>
      </c>
      <c r="B669" s="211">
        <v>42547</v>
      </c>
      <c r="C669" s="193" t="s">
        <v>1361</v>
      </c>
      <c r="D669" s="194">
        <v>61482</v>
      </c>
      <c r="E669" s="146"/>
      <c r="F669" s="146"/>
      <c r="G669" s="198"/>
      <c r="H669" s="19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</row>
    <row r="670" spans="1:23" ht="15" x14ac:dyDescent="0.4">
      <c r="A670" s="129">
        <v>518607</v>
      </c>
      <c r="B670" s="211">
        <v>42547</v>
      </c>
      <c r="C670" s="193" t="s">
        <v>1362</v>
      </c>
      <c r="D670" s="194">
        <v>47785</v>
      </c>
      <c r="E670" s="146"/>
      <c r="F670" s="146"/>
      <c r="G670" s="198"/>
      <c r="H670" s="19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</row>
    <row r="671" spans="1:23" ht="15" x14ac:dyDescent="0.4">
      <c r="A671" s="129">
        <v>519131</v>
      </c>
      <c r="B671" s="211">
        <v>42547</v>
      </c>
      <c r="C671" s="193" t="s">
        <v>1363</v>
      </c>
      <c r="D671" s="194">
        <v>81098</v>
      </c>
      <c r="E671" s="146"/>
      <c r="F671" s="146"/>
      <c r="G671" s="198"/>
      <c r="H671" s="19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</row>
    <row r="672" spans="1:23" ht="15" x14ac:dyDescent="0.4">
      <c r="A672" s="129">
        <v>519739</v>
      </c>
      <c r="B672" s="211">
        <v>42547</v>
      </c>
      <c r="C672" s="193" t="s">
        <v>1364</v>
      </c>
      <c r="D672" s="194">
        <v>57023</v>
      </c>
      <c r="E672" s="146"/>
      <c r="F672" s="146"/>
      <c r="G672" s="198"/>
      <c r="H672" s="19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</row>
    <row r="673" spans="1:23" ht="15" x14ac:dyDescent="0.4">
      <c r="A673" s="129">
        <v>520799</v>
      </c>
      <c r="B673" s="211">
        <v>42547</v>
      </c>
      <c r="C673" s="193" t="s">
        <v>1365</v>
      </c>
      <c r="D673" s="194">
        <v>90956</v>
      </c>
      <c r="E673" s="146"/>
      <c r="F673" s="146"/>
      <c r="G673" s="198"/>
      <c r="H673" s="19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</row>
    <row r="674" spans="1:23" ht="15" x14ac:dyDescent="0.4">
      <c r="A674" s="129">
        <v>520829</v>
      </c>
      <c r="B674" s="211">
        <v>42547</v>
      </c>
      <c r="C674" s="193" t="s">
        <v>1366</v>
      </c>
      <c r="D674" s="194">
        <v>24384</v>
      </c>
      <c r="E674" s="146"/>
      <c r="F674" s="146"/>
      <c r="G674" s="198"/>
      <c r="H674" s="19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</row>
    <row r="675" spans="1:23" ht="15" x14ac:dyDescent="0.4">
      <c r="A675" s="129">
        <v>520916</v>
      </c>
      <c r="B675" s="211">
        <v>42547</v>
      </c>
      <c r="C675" s="193" t="s">
        <v>1276</v>
      </c>
      <c r="D675" s="194">
        <v>42188</v>
      </c>
      <c r="E675" s="146"/>
      <c r="F675" s="146"/>
      <c r="G675" s="198"/>
      <c r="H675" s="19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</row>
    <row r="676" spans="1:23" ht="15" x14ac:dyDescent="0.4">
      <c r="A676" s="129">
        <v>521797</v>
      </c>
      <c r="B676" s="211">
        <v>42547</v>
      </c>
      <c r="C676" s="193" t="s">
        <v>1367</v>
      </c>
      <c r="D676" s="194">
        <v>40587</v>
      </c>
      <c r="E676" s="146"/>
      <c r="F676" s="146"/>
      <c r="G676" s="198"/>
      <c r="H676" s="19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</row>
    <row r="677" spans="1:23" ht="15" x14ac:dyDescent="0.4">
      <c r="A677" s="129">
        <v>521802</v>
      </c>
      <c r="B677" s="211">
        <v>42547</v>
      </c>
      <c r="C677" s="193" t="s">
        <v>1368</v>
      </c>
      <c r="D677" s="194">
        <v>53697</v>
      </c>
      <c r="E677" s="146"/>
      <c r="F677" s="146"/>
      <c r="G677" s="198"/>
      <c r="H677" s="19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</row>
    <row r="678" spans="1:23" ht="15" x14ac:dyDescent="0.4">
      <c r="A678" s="129">
        <v>521992</v>
      </c>
      <c r="B678" s="211">
        <v>42547</v>
      </c>
      <c r="C678" s="193" t="s">
        <v>1369</v>
      </c>
      <c r="D678" s="194">
        <v>94991</v>
      </c>
      <c r="E678" s="146"/>
      <c r="F678" s="146"/>
      <c r="G678" s="198"/>
      <c r="H678" s="19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</row>
    <row r="679" spans="1:23" ht="15" x14ac:dyDescent="0.4">
      <c r="A679" s="129">
        <v>529275</v>
      </c>
      <c r="B679" s="211">
        <v>42547</v>
      </c>
      <c r="C679" s="193" t="s">
        <v>1370</v>
      </c>
      <c r="D679" s="194">
        <v>60462</v>
      </c>
      <c r="E679" s="146"/>
      <c r="F679" s="146"/>
      <c r="G679" s="198"/>
      <c r="H679" s="19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</row>
    <row r="680" spans="1:23" ht="15" x14ac:dyDescent="0.4">
      <c r="A680" s="129">
        <v>531064</v>
      </c>
      <c r="B680" s="211">
        <v>42547</v>
      </c>
      <c r="C680" s="193" t="s">
        <v>1371</v>
      </c>
      <c r="D680" s="194">
        <v>47143</v>
      </c>
      <c r="E680" s="146"/>
      <c r="F680" s="146"/>
      <c r="G680" s="198"/>
      <c r="H680" s="19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</row>
    <row r="681" spans="1:23" ht="15" x14ac:dyDescent="0.4">
      <c r="A681" s="129">
        <v>213230</v>
      </c>
      <c r="B681" s="211">
        <v>42548</v>
      </c>
      <c r="C681" s="193" t="s">
        <v>1372</v>
      </c>
      <c r="D681" s="194">
        <v>60903</v>
      </c>
      <c r="E681" s="146"/>
      <c r="F681" s="146"/>
      <c r="G681" s="198"/>
      <c r="H681" s="19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</row>
    <row r="682" spans="1:23" ht="15" x14ac:dyDescent="0.4">
      <c r="A682" s="129">
        <v>217537</v>
      </c>
      <c r="B682" s="211">
        <v>42548</v>
      </c>
      <c r="C682" s="193" t="s">
        <v>1373</v>
      </c>
      <c r="D682" s="194">
        <v>81049</v>
      </c>
      <c r="E682" s="146"/>
      <c r="F682" s="146"/>
      <c r="G682" s="198"/>
      <c r="H682" s="19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</row>
    <row r="683" spans="1:23" ht="15" x14ac:dyDescent="0.4">
      <c r="A683" s="129">
        <v>218161</v>
      </c>
      <c r="B683" s="211">
        <v>42548</v>
      </c>
      <c r="C683" s="193" t="s">
        <v>1374</v>
      </c>
      <c r="D683" s="194">
        <v>77104</v>
      </c>
      <c r="E683" s="146"/>
      <c r="F683" s="146"/>
      <c r="G683" s="198"/>
      <c r="H683" s="19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</row>
    <row r="684" spans="1:23" ht="15" x14ac:dyDescent="0.4">
      <c r="A684" s="129">
        <v>218168</v>
      </c>
      <c r="B684" s="211">
        <v>42548</v>
      </c>
      <c r="C684" s="193" t="s">
        <v>1375</v>
      </c>
      <c r="D684" s="194">
        <v>20401</v>
      </c>
      <c r="E684" s="146"/>
      <c r="F684" s="146"/>
      <c r="G684" s="198"/>
      <c r="H684" s="19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</row>
    <row r="685" spans="1:23" ht="15" x14ac:dyDescent="0.4">
      <c r="A685" s="129">
        <v>221688</v>
      </c>
      <c r="B685" s="211">
        <v>42548</v>
      </c>
      <c r="C685" s="193" t="s">
        <v>1376</v>
      </c>
      <c r="D685" s="194">
        <v>10169</v>
      </c>
      <c r="E685" s="146"/>
      <c r="F685" s="146"/>
      <c r="G685" s="198"/>
      <c r="H685" s="19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</row>
    <row r="686" spans="1:23" ht="15" x14ac:dyDescent="0.4">
      <c r="A686" s="129">
        <v>513382</v>
      </c>
      <c r="B686" s="211">
        <v>42548</v>
      </c>
      <c r="C686" s="193" t="s">
        <v>1377</v>
      </c>
      <c r="D686" s="194">
        <v>29639</v>
      </c>
      <c r="E686" s="146"/>
      <c r="F686" s="146"/>
      <c r="G686" s="198"/>
      <c r="H686" s="19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</row>
    <row r="687" spans="1:23" ht="15" x14ac:dyDescent="0.4">
      <c r="A687" s="129">
        <v>514780</v>
      </c>
      <c r="B687" s="211">
        <v>42548</v>
      </c>
      <c r="C687" s="193" t="s">
        <v>1378</v>
      </c>
      <c r="D687" s="194">
        <v>41719</v>
      </c>
      <c r="E687" s="146"/>
      <c r="F687" s="146"/>
      <c r="G687" s="198"/>
      <c r="H687" s="19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</row>
    <row r="688" spans="1:23" ht="15" x14ac:dyDescent="0.4">
      <c r="A688" s="129">
        <v>515278</v>
      </c>
      <c r="B688" s="211">
        <v>42548</v>
      </c>
      <c r="C688" s="193" t="s">
        <v>1379</v>
      </c>
      <c r="D688" s="194">
        <v>98610</v>
      </c>
      <c r="E688" s="146"/>
      <c r="F688" s="146"/>
      <c r="G688" s="198"/>
      <c r="H688" s="19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</row>
    <row r="689" spans="1:23" ht="15" x14ac:dyDescent="0.4">
      <c r="A689" s="129">
        <v>515846</v>
      </c>
      <c r="B689" s="211">
        <v>42548</v>
      </c>
      <c r="C689" s="193" t="s">
        <v>1380</v>
      </c>
      <c r="D689" s="194">
        <v>90078</v>
      </c>
      <c r="E689" s="146"/>
      <c r="F689" s="146"/>
      <c r="G689" s="198"/>
      <c r="H689" s="19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</row>
    <row r="690" spans="1:23" ht="15" x14ac:dyDescent="0.4">
      <c r="A690" s="129">
        <v>516637</v>
      </c>
      <c r="B690" s="211">
        <v>42548</v>
      </c>
      <c r="C690" s="193" t="s">
        <v>1381</v>
      </c>
      <c r="D690" s="194">
        <v>47998</v>
      </c>
      <c r="E690" s="146"/>
      <c r="F690" s="146"/>
      <c r="G690" s="198"/>
      <c r="H690" s="19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</row>
    <row r="691" spans="1:23" ht="15" x14ac:dyDescent="0.4">
      <c r="A691" s="129">
        <v>516727</v>
      </c>
      <c r="B691" s="211">
        <v>42548</v>
      </c>
      <c r="C691" s="193" t="s">
        <v>1382</v>
      </c>
      <c r="D691" s="194">
        <v>68618</v>
      </c>
      <c r="E691" s="146"/>
      <c r="F691" s="146"/>
      <c r="G691" s="198"/>
      <c r="H691" s="19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</row>
    <row r="692" spans="1:23" ht="15" x14ac:dyDescent="0.4">
      <c r="A692" s="129">
        <v>518102</v>
      </c>
      <c r="B692" s="211">
        <v>42548</v>
      </c>
      <c r="C692" s="193" t="s">
        <v>1383</v>
      </c>
      <c r="D692" s="194">
        <v>54573</v>
      </c>
      <c r="E692" s="146"/>
      <c r="F692" s="146"/>
      <c r="G692" s="198"/>
      <c r="H692" s="19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</row>
    <row r="693" spans="1:23" ht="15" x14ac:dyDescent="0.4">
      <c r="A693" s="129">
        <v>518549</v>
      </c>
      <c r="B693" s="211">
        <v>42548</v>
      </c>
      <c r="C693" s="193" t="s">
        <v>1384</v>
      </c>
      <c r="D693" s="194">
        <v>91991</v>
      </c>
      <c r="E693" s="146"/>
      <c r="F693" s="146"/>
      <c r="G693" s="198"/>
      <c r="H693" s="19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</row>
    <row r="694" spans="1:23" ht="15" x14ac:dyDescent="0.4">
      <c r="A694" s="129">
        <v>519162</v>
      </c>
      <c r="B694" s="211">
        <v>42548</v>
      </c>
      <c r="C694" s="193" t="s">
        <v>1385</v>
      </c>
      <c r="D694" s="194">
        <v>16599</v>
      </c>
      <c r="E694" s="146"/>
      <c r="F694" s="146"/>
      <c r="G694" s="198"/>
      <c r="H694" s="19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</row>
    <row r="695" spans="1:23" ht="15" x14ac:dyDescent="0.4">
      <c r="A695" s="129">
        <v>519744</v>
      </c>
      <c r="B695" s="211">
        <v>42548</v>
      </c>
      <c r="C695" s="193" t="s">
        <v>1386</v>
      </c>
      <c r="D695" s="194">
        <v>94948</v>
      </c>
      <c r="E695" s="146"/>
      <c r="F695" s="146"/>
      <c r="G695" s="198"/>
      <c r="H695" s="19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</row>
    <row r="696" spans="1:23" ht="15" x14ac:dyDescent="0.4">
      <c r="A696" s="129">
        <v>530762</v>
      </c>
      <c r="B696" s="211">
        <v>42548</v>
      </c>
      <c r="C696" s="193" t="s">
        <v>1387</v>
      </c>
      <c r="D696" s="194">
        <v>50776</v>
      </c>
      <c r="E696" s="146"/>
      <c r="F696" s="146"/>
      <c r="G696" s="198"/>
      <c r="H696" s="19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</row>
    <row r="697" spans="1:23" ht="15" x14ac:dyDescent="0.4">
      <c r="A697" s="129">
        <v>531963</v>
      </c>
      <c r="B697" s="211">
        <v>42548</v>
      </c>
      <c r="C697" s="193" t="s">
        <v>1388</v>
      </c>
      <c r="D697" s="194">
        <v>47046</v>
      </c>
      <c r="E697" s="146"/>
      <c r="F697" s="146"/>
      <c r="G697" s="198"/>
      <c r="H697" s="19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</row>
    <row r="698" spans="1:23" ht="15" x14ac:dyDescent="0.4">
      <c r="A698" s="129">
        <v>220561</v>
      </c>
      <c r="B698" s="211">
        <v>42549</v>
      </c>
      <c r="C698" s="193" t="s">
        <v>1389</v>
      </c>
      <c r="D698" s="194">
        <v>89658</v>
      </c>
      <c r="E698" s="146"/>
      <c r="F698" s="146"/>
      <c r="G698" s="198"/>
      <c r="H698" s="19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</row>
    <row r="699" spans="1:23" ht="15" x14ac:dyDescent="0.4">
      <c r="A699" s="129">
        <v>221267</v>
      </c>
      <c r="B699" s="211">
        <v>42549</v>
      </c>
      <c r="C699" s="193" t="s">
        <v>1390</v>
      </c>
      <c r="D699" s="194">
        <v>96502</v>
      </c>
      <c r="E699" s="146"/>
      <c r="F699" s="146"/>
      <c r="G699" s="198"/>
      <c r="H699" s="19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</row>
    <row r="700" spans="1:23" ht="15" x14ac:dyDescent="0.4">
      <c r="A700" s="129">
        <v>221530</v>
      </c>
      <c r="B700" s="211">
        <v>42549</v>
      </c>
      <c r="C700" s="193" t="s">
        <v>1391</v>
      </c>
      <c r="D700" s="194">
        <v>79417</v>
      </c>
      <c r="E700" s="146"/>
      <c r="F700" s="146"/>
      <c r="G700" s="198"/>
      <c r="H700" s="19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</row>
    <row r="701" spans="1:23" ht="15" x14ac:dyDescent="0.4">
      <c r="A701" s="129">
        <v>222472</v>
      </c>
      <c r="B701" s="211">
        <v>42549</v>
      </c>
      <c r="C701" s="193" t="s">
        <v>1392</v>
      </c>
      <c r="D701" s="194">
        <v>64253</v>
      </c>
      <c r="E701" s="146"/>
      <c r="F701" s="146"/>
      <c r="G701" s="198"/>
      <c r="H701" s="19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</row>
    <row r="702" spans="1:23" ht="15" x14ac:dyDescent="0.4">
      <c r="A702" s="129">
        <v>513394</v>
      </c>
      <c r="B702" s="211">
        <v>42549</v>
      </c>
      <c r="C702" s="193" t="s">
        <v>1393</v>
      </c>
      <c r="D702" s="194">
        <v>20961</v>
      </c>
      <c r="E702" s="146"/>
      <c r="F702" s="146"/>
      <c r="G702" s="198"/>
      <c r="H702" s="19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</row>
    <row r="703" spans="1:23" ht="15" x14ac:dyDescent="0.4">
      <c r="A703" s="129">
        <v>513732</v>
      </c>
      <c r="B703" s="211">
        <v>42549</v>
      </c>
      <c r="C703" s="193" t="s">
        <v>1394</v>
      </c>
      <c r="D703" s="194">
        <v>90449</v>
      </c>
      <c r="E703" s="146"/>
      <c r="F703" s="146"/>
      <c r="G703" s="198"/>
      <c r="H703" s="19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</row>
    <row r="704" spans="1:23" ht="15" x14ac:dyDescent="0.4">
      <c r="A704" s="129">
        <v>514313</v>
      </c>
      <c r="B704" s="211">
        <v>42549</v>
      </c>
      <c r="C704" s="193" t="s">
        <v>1395</v>
      </c>
      <c r="D704" s="194">
        <v>42072</v>
      </c>
      <c r="E704" s="146"/>
      <c r="F704" s="146"/>
      <c r="G704" s="198"/>
      <c r="H704" s="19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</row>
    <row r="705" spans="1:23" ht="15" x14ac:dyDescent="0.4">
      <c r="A705" s="129">
        <v>515209</v>
      </c>
      <c r="B705" s="211">
        <v>42549</v>
      </c>
      <c r="C705" s="193" t="s">
        <v>1396</v>
      </c>
      <c r="D705" s="194">
        <v>52914</v>
      </c>
      <c r="E705" s="146"/>
      <c r="F705" s="146"/>
      <c r="G705" s="198"/>
      <c r="H705" s="19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</row>
    <row r="706" spans="1:23" ht="15" x14ac:dyDescent="0.4">
      <c r="A706" s="129">
        <v>515716</v>
      </c>
      <c r="B706" s="211">
        <v>42549</v>
      </c>
      <c r="C706" s="193" t="s">
        <v>1397</v>
      </c>
      <c r="D706" s="194">
        <v>47492</v>
      </c>
      <c r="E706" s="146"/>
      <c r="F706" s="146"/>
      <c r="G706" s="198"/>
      <c r="H706" s="19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</row>
    <row r="707" spans="1:23" ht="15" x14ac:dyDescent="0.4">
      <c r="A707" s="129">
        <v>516264</v>
      </c>
      <c r="B707" s="211">
        <v>42549</v>
      </c>
      <c r="C707" s="193" t="s">
        <v>1398</v>
      </c>
      <c r="D707" s="194">
        <v>65906</v>
      </c>
      <c r="E707" s="146"/>
      <c r="F707" s="146"/>
      <c r="G707" s="198"/>
      <c r="H707" s="19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</row>
    <row r="708" spans="1:23" ht="15" x14ac:dyDescent="0.4">
      <c r="A708" s="129">
        <v>516755</v>
      </c>
      <c r="B708" s="211">
        <v>42549</v>
      </c>
      <c r="C708" s="193" t="s">
        <v>1399</v>
      </c>
      <c r="D708" s="194">
        <v>14994</v>
      </c>
      <c r="E708" s="146"/>
      <c r="F708" s="146"/>
      <c r="G708" s="198"/>
      <c r="H708" s="19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</row>
    <row r="709" spans="1:23" ht="15" x14ac:dyDescent="0.4">
      <c r="A709" s="129">
        <v>518106</v>
      </c>
      <c r="B709" s="211">
        <v>42549</v>
      </c>
      <c r="C709" s="193" t="s">
        <v>1400</v>
      </c>
      <c r="D709" s="194">
        <v>24708</v>
      </c>
      <c r="E709" s="146"/>
      <c r="F709" s="146"/>
      <c r="G709" s="198"/>
      <c r="H709" s="19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</row>
    <row r="710" spans="1:23" ht="15" x14ac:dyDescent="0.4">
      <c r="A710" s="129">
        <v>518634</v>
      </c>
      <c r="B710" s="211">
        <v>42549</v>
      </c>
      <c r="C710" s="193" t="s">
        <v>1401</v>
      </c>
      <c r="D710" s="194">
        <v>55419</v>
      </c>
      <c r="E710" s="146"/>
      <c r="F710" s="146"/>
      <c r="G710" s="198"/>
      <c r="H710" s="19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</row>
    <row r="711" spans="1:23" ht="15" x14ac:dyDescent="0.4">
      <c r="A711" s="129">
        <v>519520</v>
      </c>
      <c r="B711" s="211">
        <v>42549</v>
      </c>
      <c r="C711" s="193" t="s">
        <v>1402</v>
      </c>
      <c r="D711" s="194">
        <v>91082</v>
      </c>
      <c r="E711" s="146"/>
      <c r="F711" s="146"/>
      <c r="G711" s="198"/>
      <c r="H711" s="19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</row>
    <row r="712" spans="1:23" ht="15" x14ac:dyDescent="0.4">
      <c r="A712" s="129">
        <v>519702</v>
      </c>
      <c r="B712" s="211">
        <v>42549</v>
      </c>
      <c r="C712" s="193" t="s">
        <v>1403</v>
      </c>
      <c r="D712" s="194">
        <v>14329</v>
      </c>
      <c r="E712" s="146"/>
      <c r="F712" s="146"/>
      <c r="G712" s="198"/>
      <c r="H712" s="19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</row>
    <row r="713" spans="1:23" ht="15" x14ac:dyDescent="0.4">
      <c r="A713" s="129">
        <v>520824</v>
      </c>
      <c r="B713" s="211">
        <v>42549</v>
      </c>
      <c r="C713" s="193" t="s">
        <v>1404</v>
      </c>
      <c r="D713" s="194">
        <v>17690</v>
      </c>
      <c r="E713" s="146"/>
      <c r="F713" s="146"/>
      <c r="G713" s="198"/>
      <c r="H713" s="19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</row>
    <row r="714" spans="1:23" ht="15" x14ac:dyDescent="0.4">
      <c r="A714" s="129">
        <v>520942</v>
      </c>
      <c r="B714" s="211">
        <v>42549</v>
      </c>
      <c r="C714" s="193" t="s">
        <v>1405</v>
      </c>
      <c r="D714" s="194">
        <v>19926</v>
      </c>
      <c r="E714" s="146"/>
      <c r="F714" s="146"/>
      <c r="G714" s="198"/>
      <c r="H714" s="19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</row>
    <row r="715" spans="1:23" ht="15" x14ac:dyDescent="0.4">
      <c r="A715" s="129">
        <v>521947</v>
      </c>
      <c r="B715" s="211">
        <v>42549</v>
      </c>
      <c r="C715" s="193" t="s">
        <v>1406</v>
      </c>
      <c r="D715" s="194">
        <v>54486</v>
      </c>
      <c r="E715" s="146"/>
      <c r="F715" s="146"/>
      <c r="G715" s="198"/>
      <c r="H715" s="19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</row>
    <row r="716" spans="1:23" ht="15" x14ac:dyDescent="0.4">
      <c r="A716" s="129">
        <v>522277</v>
      </c>
      <c r="B716" s="211">
        <v>42549</v>
      </c>
      <c r="C716" s="193" t="s">
        <v>1407</v>
      </c>
      <c r="D716" s="194">
        <v>36112</v>
      </c>
      <c r="E716" s="146"/>
      <c r="F716" s="146"/>
      <c r="G716" s="198"/>
      <c r="H716" s="19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</row>
    <row r="717" spans="1:23" ht="15" x14ac:dyDescent="0.4">
      <c r="A717" s="129">
        <v>531525</v>
      </c>
      <c r="B717" s="211">
        <v>42549</v>
      </c>
      <c r="C717" s="193" t="s">
        <v>1408</v>
      </c>
      <c r="D717" s="194">
        <v>76408</v>
      </c>
      <c r="E717" s="146"/>
      <c r="F717" s="146"/>
      <c r="G717" s="198"/>
      <c r="H717" s="19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</row>
    <row r="718" spans="1:23" ht="15" x14ac:dyDescent="0.4">
      <c r="A718" s="129">
        <v>220550</v>
      </c>
      <c r="B718" s="211">
        <v>42550</v>
      </c>
      <c r="C718" s="193" t="s">
        <v>1409</v>
      </c>
      <c r="D718" s="194">
        <v>14677</v>
      </c>
      <c r="E718" s="146"/>
      <c r="F718" s="146"/>
      <c r="G718" s="198"/>
      <c r="H718" s="19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</row>
    <row r="719" spans="1:23" ht="15" x14ac:dyDescent="0.4">
      <c r="A719" s="129">
        <v>221854</v>
      </c>
      <c r="B719" s="211">
        <v>42550</v>
      </c>
      <c r="C719" s="193" t="s">
        <v>1410</v>
      </c>
      <c r="D719" s="194">
        <v>30740</v>
      </c>
      <c r="E719" s="146"/>
      <c r="F719" s="146"/>
      <c r="G719" s="198"/>
      <c r="H719" s="19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</row>
    <row r="720" spans="1:23" ht="15" x14ac:dyDescent="0.4">
      <c r="A720" s="129">
        <v>222274</v>
      </c>
      <c r="B720" s="211">
        <v>42550</v>
      </c>
      <c r="C720" s="193" t="s">
        <v>740</v>
      </c>
      <c r="D720" s="194">
        <v>32857</v>
      </c>
      <c r="E720" s="146"/>
      <c r="F720" s="146"/>
      <c r="G720" s="198"/>
      <c r="H720" s="19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</row>
    <row r="721" spans="1:23" ht="15" x14ac:dyDescent="0.4">
      <c r="A721" s="129">
        <v>222566</v>
      </c>
      <c r="B721" s="211">
        <v>42550</v>
      </c>
      <c r="C721" s="193" t="s">
        <v>1411</v>
      </c>
      <c r="D721" s="194">
        <v>34956</v>
      </c>
      <c r="E721" s="146"/>
      <c r="F721" s="146"/>
      <c r="G721" s="198"/>
      <c r="H721" s="19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</row>
    <row r="722" spans="1:23" ht="15" x14ac:dyDescent="0.4">
      <c r="A722" s="129">
        <v>511813</v>
      </c>
      <c r="B722" s="211">
        <v>42550</v>
      </c>
      <c r="C722" s="193" t="s">
        <v>1412</v>
      </c>
      <c r="D722" s="194">
        <v>68292</v>
      </c>
      <c r="E722" s="146"/>
      <c r="F722" s="146"/>
      <c r="G722" s="198"/>
      <c r="H722" s="19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</row>
    <row r="723" spans="1:23" ht="15" x14ac:dyDescent="0.4">
      <c r="A723" s="129">
        <v>513731</v>
      </c>
      <c r="B723" s="211">
        <v>42550</v>
      </c>
      <c r="C723" s="193" t="s">
        <v>1367</v>
      </c>
      <c r="D723" s="194">
        <v>10020</v>
      </c>
      <c r="E723" s="146"/>
      <c r="F723" s="146"/>
      <c r="G723" s="198"/>
      <c r="H723" s="19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</row>
    <row r="724" spans="1:23" ht="15" x14ac:dyDescent="0.4">
      <c r="A724" s="129">
        <v>515220</v>
      </c>
      <c r="B724" s="211">
        <v>42550</v>
      </c>
      <c r="C724" s="193" t="s">
        <v>1413</v>
      </c>
      <c r="D724" s="194">
        <v>48081</v>
      </c>
      <c r="E724" s="146"/>
      <c r="F724" s="146"/>
      <c r="G724" s="198"/>
      <c r="H724" s="19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</row>
    <row r="725" spans="1:23" ht="15" x14ac:dyDescent="0.4">
      <c r="A725" s="129">
        <v>515247</v>
      </c>
      <c r="B725" s="211">
        <v>42550</v>
      </c>
      <c r="C725" s="193" t="s">
        <v>1414</v>
      </c>
      <c r="D725" s="194">
        <v>67576</v>
      </c>
      <c r="E725" s="146"/>
      <c r="F725" s="146"/>
      <c r="G725" s="198"/>
      <c r="H725" s="19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</row>
    <row r="726" spans="1:23" ht="15" x14ac:dyDescent="0.4">
      <c r="A726" s="129">
        <v>516080</v>
      </c>
      <c r="B726" s="211">
        <v>42550</v>
      </c>
      <c r="C726" s="193" t="s">
        <v>1415</v>
      </c>
      <c r="D726" s="194">
        <v>91523</v>
      </c>
      <c r="E726" s="146"/>
      <c r="F726" s="146"/>
      <c r="G726" s="198"/>
      <c r="H726" s="19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</row>
    <row r="727" spans="1:23" ht="15" x14ac:dyDescent="0.4">
      <c r="A727" s="129">
        <v>516270</v>
      </c>
      <c r="B727" s="211">
        <v>42550</v>
      </c>
      <c r="C727" s="193" t="s">
        <v>1416</v>
      </c>
      <c r="D727" s="194">
        <v>67831</v>
      </c>
      <c r="E727" s="146"/>
      <c r="F727" s="146"/>
      <c r="G727" s="198"/>
      <c r="H727" s="19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</row>
    <row r="728" spans="1:23" ht="15" x14ac:dyDescent="0.4">
      <c r="A728" s="129">
        <v>518533</v>
      </c>
      <c r="B728" s="211">
        <v>42550</v>
      </c>
      <c r="C728" s="193" t="s">
        <v>1417</v>
      </c>
      <c r="D728" s="194">
        <v>42983</v>
      </c>
      <c r="E728" s="146"/>
      <c r="F728" s="146"/>
      <c r="G728" s="198"/>
      <c r="H728" s="19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</row>
    <row r="729" spans="1:23" ht="15" x14ac:dyDescent="0.4">
      <c r="A729" s="129">
        <v>518645</v>
      </c>
      <c r="B729" s="211">
        <v>42550</v>
      </c>
      <c r="C729" s="193" t="s">
        <v>1418</v>
      </c>
      <c r="D729" s="194">
        <v>67688</v>
      </c>
      <c r="E729" s="146"/>
      <c r="F729" s="146"/>
      <c r="G729" s="198"/>
      <c r="H729" s="19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</row>
    <row r="730" spans="1:23" ht="15" x14ac:dyDescent="0.4">
      <c r="A730" s="129">
        <v>518663</v>
      </c>
      <c r="B730" s="211">
        <v>42550</v>
      </c>
      <c r="C730" s="193" t="s">
        <v>1419</v>
      </c>
      <c r="D730" s="194">
        <v>48942</v>
      </c>
      <c r="E730" s="146"/>
      <c r="F730" s="146"/>
      <c r="G730" s="198"/>
      <c r="H730" s="19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</row>
    <row r="731" spans="1:23" ht="15" x14ac:dyDescent="0.4">
      <c r="A731" s="129">
        <v>518953</v>
      </c>
      <c r="B731" s="211">
        <v>42550</v>
      </c>
      <c r="C731" s="193" t="s">
        <v>1420</v>
      </c>
      <c r="D731" s="194">
        <v>51135</v>
      </c>
      <c r="E731" s="146"/>
      <c r="F731" s="146"/>
      <c r="G731" s="198"/>
      <c r="H731" s="19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</row>
    <row r="732" spans="1:23" ht="15" x14ac:dyDescent="0.4">
      <c r="A732" s="129">
        <v>520369</v>
      </c>
      <c r="B732" s="211">
        <v>42550</v>
      </c>
      <c r="C732" s="193" t="s">
        <v>1421</v>
      </c>
      <c r="D732" s="194">
        <v>65731</v>
      </c>
      <c r="E732" s="146"/>
      <c r="F732" s="146"/>
      <c r="G732" s="198"/>
      <c r="H732" s="19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</row>
    <row r="733" spans="1:23" ht="15" x14ac:dyDescent="0.4">
      <c r="A733" s="129">
        <v>520842</v>
      </c>
      <c r="B733" s="211">
        <v>42550</v>
      </c>
      <c r="C733" s="193" t="s">
        <v>1422</v>
      </c>
      <c r="D733" s="194">
        <v>45994</v>
      </c>
      <c r="E733" s="146"/>
      <c r="F733" s="146"/>
      <c r="G733" s="198"/>
      <c r="H733" s="19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</row>
    <row r="734" spans="1:23" ht="15" x14ac:dyDescent="0.4">
      <c r="A734" s="129">
        <v>521548</v>
      </c>
      <c r="B734" s="211">
        <v>42550</v>
      </c>
      <c r="C734" s="193" t="s">
        <v>1423</v>
      </c>
      <c r="D734" s="194">
        <v>97314</v>
      </c>
      <c r="E734" s="146"/>
      <c r="F734" s="146"/>
      <c r="G734" s="198"/>
      <c r="H734" s="19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</row>
    <row r="735" spans="1:23" ht="15" x14ac:dyDescent="0.4">
      <c r="A735" s="129">
        <v>521987</v>
      </c>
      <c r="B735" s="211">
        <v>42550</v>
      </c>
      <c r="C735" s="193" t="s">
        <v>1424</v>
      </c>
      <c r="D735" s="194">
        <v>92667</v>
      </c>
      <c r="E735" s="146"/>
      <c r="F735" s="146"/>
      <c r="G735" s="198"/>
      <c r="H735" s="19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</row>
    <row r="736" spans="1:23" ht="15" x14ac:dyDescent="0.4">
      <c r="A736" s="129">
        <v>530793</v>
      </c>
      <c r="B736" s="211">
        <v>42550</v>
      </c>
      <c r="C736" s="193" t="s">
        <v>1425</v>
      </c>
      <c r="D736" s="194">
        <v>50114</v>
      </c>
      <c r="E736" s="146"/>
      <c r="F736" s="146"/>
      <c r="G736" s="198"/>
      <c r="H736" s="19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</row>
    <row r="737" spans="1:23" ht="15" x14ac:dyDescent="0.4">
      <c r="A737" s="129">
        <v>532090</v>
      </c>
      <c r="B737" s="211">
        <v>42550</v>
      </c>
      <c r="C737" s="193" t="s">
        <v>1426</v>
      </c>
      <c r="D737" s="194">
        <v>12257</v>
      </c>
      <c r="E737" s="146"/>
      <c r="F737" s="146"/>
      <c r="G737" s="198"/>
      <c r="H737" s="19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</row>
    <row r="738" spans="1:23" ht="15" x14ac:dyDescent="0.4">
      <c r="A738" s="129">
        <v>212405</v>
      </c>
      <c r="B738" s="211">
        <v>42551</v>
      </c>
      <c r="C738" s="193" t="s">
        <v>1427</v>
      </c>
      <c r="D738" s="194">
        <v>45761</v>
      </c>
      <c r="E738" s="146"/>
      <c r="F738" s="146"/>
      <c r="G738" s="198"/>
      <c r="H738" s="19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</row>
    <row r="739" spans="1:23" ht="15" x14ac:dyDescent="0.4">
      <c r="A739" s="129">
        <v>217861</v>
      </c>
      <c r="B739" s="211">
        <v>42551</v>
      </c>
      <c r="C739" s="193" t="s">
        <v>1428</v>
      </c>
      <c r="D739" s="194">
        <v>33921</v>
      </c>
      <c r="E739" s="146"/>
      <c r="F739" s="146"/>
      <c r="G739" s="198"/>
      <c r="H739" s="19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</row>
    <row r="740" spans="1:23" ht="15" x14ac:dyDescent="0.4">
      <c r="A740" s="129">
        <v>220527</v>
      </c>
      <c r="B740" s="211">
        <v>42551</v>
      </c>
      <c r="C740" s="193" t="s">
        <v>1429</v>
      </c>
      <c r="D740" s="194">
        <v>45437</v>
      </c>
      <c r="E740" s="146"/>
      <c r="F740" s="146"/>
      <c r="G740" s="198"/>
      <c r="H740" s="19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</row>
    <row r="741" spans="1:23" ht="15" x14ac:dyDescent="0.4">
      <c r="A741" s="129">
        <v>220551</v>
      </c>
      <c r="B741" s="211">
        <v>42551</v>
      </c>
      <c r="C741" s="193" t="s">
        <v>1430</v>
      </c>
      <c r="D741" s="194">
        <v>60505</v>
      </c>
      <c r="E741" s="146"/>
      <c r="F741" s="146"/>
      <c r="G741" s="198"/>
      <c r="H741" s="19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</row>
    <row r="742" spans="1:23" ht="15" x14ac:dyDescent="0.4">
      <c r="A742" s="129">
        <v>222556</v>
      </c>
      <c r="B742" s="211">
        <v>42551</v>
      </c>
      <c r="C742" s="193" t="s">
        <v>1431</v>
      </c>
      <c r="D742" s="194">
        <v>94075</v>
      </c>
      <c r="E742" s="146"/>
      <c r="F742" s="146"/>
      <c r="G742" s="198"/>
      <c r="H742" s="19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</row>
    <row r="743" spans="1:23" ht="15" x14ac:dyDescent="0.4">
      <c r="A743" s="129">
        <v>511864</v>
      </c>
      <c r="B743" s="211">
        <v>42551</v>
      </c>
      <c r="C743" s="193" t="s">
        <v>1432</v>
      </c>
      <c r="D743" s="194">
        <v>48169</v>
      </c>
      <c r="E743" s="146"/>
      <c r="F743" s="146"/>
      <c r="G743" s="198"/>
      <c r="H743" s="19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</row>
    <row r="744" spans="1:23" ht="15" x14ac:dyDescent="0.4">
      <c r="A744" s="129">
        <v>514308</v>
      </c>
      <c r="B744" s="211">
        <v>42551</v>
      </c>
      <c r="C744" s="193" t="s">
        <v>1433</v>
      </c>
      <c r="D744" s="194">
        <v>98602</v>
      </c>
      <c r="E744" s="146"/>
      <c r="F744" s="146"/>
      <c r="G744" s="198"/>
      <c r="H744" s="19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</row>
    <row r="745" spans="1:23" ht="15" x14ac:dyDescent="0.4">
      <c r="A745" s="129">
        <v>514457</v>
      </c>
      <c r="B745" s="211">
        <v>42551</v>
      </c>
      <c r="C745" s="193" t="s">
        <v>1434</v>
      </c>
      <c r="D745" s="194">
        <v>13015</v>
      </c>
      <c r="E745" s="146"/>
      <c r="F745" s="146"/>
      <c r="G745" s="198"/>
      <c r="H745" s="19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</row>
    <row r="746" spans="1:23" ht="15" x14ac:dyDescent="0.4">
      <c r="A746" s="129">
        <v>515605</v>
      </c>
      <c r="B746" s="211">
        <v>42551</v>
      </c>
      <c r="C746" s="193" t="s">
        <v>1435</v>
      </c>
      <c r="D746" s="194">
        <v>55804</v>
      </c>
      <c r="E746" s="146"/>
      <c r="F746" s="146"/>
      <c r="G746" s="198"/>
      <c r="H746" s="19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</row>
    <row r="747" spans="1:23" ht="15" x14ac:dyDescent="0.4">
      <c r="A747" s="129">
        <v>516296</v>
      </c>
      <c r="B747" s="211">
        <v>42551</v>
      </c>
      <c r="C747" s="193" t="s">
        <v>1436</v>
      </c>
      <c r="D747" s="194">
        <v>62268</v>
      </c>
      <c r="E747" s="146"/>
      <c r="F747" s="146"/>
      <c r="G747" s="198"/>
      <c r="H747" s="19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</row>
    <row r="748" spans="1:23" ht="15" x14ac:dyDescent="0.4">
      <c r="A748" s="129">
        <v>518139</v>
      </c>
      <c r="B748" s="211">
        <v>42551</v>
      </c>
      <c r="C748" s="193" t="s">
        <v>1437</v>
      </c>
      <c r="D748" s="194">
        <v>72891</v>
      </c>
      <c r="E748" s="146"/>
      <c r="F748" s="146"/>
      <c r="G748" s="198"/>
      <c r="H748" s="19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</row>
    <row r="749" spans="1:23" ht="15" x14ac:dyDescent="0.4">
      <c r="A749" s="129">
        <v>518148</v>
      </c>
      <c r="B749" s="211">
        <v>42551</v>
      </c>
      <c r="C749" s="193" t="s">
        <v>1438</v>
      </c>
      <c r="D749" s="194">
        <v>82938</v>
      </c>
      <c r="E749" s="146"/>
      <c r="F749" s="146"/>
      <c r="G749" s="198"/>
      <c r="H749" s="19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</row>
    <row r="750" spans="1:23" ht="15" x14ac:dyDescent="0.4">
      <c r="A750" s="129">
        <v>518682</v>
      </c>
      <c r="B750" s="211">
        <v>42551</v>
      </c>
      <c r="C750" s="193" t="s">
        <v>1439</v>
      </c>
      <c r="D750" s="194">
        <v>80723</v>
      </c>
      <c r="E750" s="146"/>
      <c r="F750" s="146"/>
      <c r="G750" s="198"/>
      <c r="H750" s="19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</row>
    <row r="751" spans="1:23" ht="15" x14ac:dyDescent="0.4">
      <c r="A751" s="129">
        <v>519421</v>
      </c>
      <c r="B751" s="211">
        <v>42551</v>
      </c>
      <c r="C751" s="193" t="s">
        <v>1440</v>
      </c>
      <c r="D751" s="194">
        <v>35160</v>
      </c>
      <c r="E751" s="146"/>
      <c r="F751" s="146"/>
      <c r="G751" s="198"/>
      <c r="H751" s="19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</row>
    <row r="752" spans="1:23" ht="15" x14ac:dyDescent="0.4">
      <c r="A752" s="129">
        <v>520965</v>
      </c>
      <c r="B752" s="211">
        <v>42551</v>
      </c>
      <c r="C752" s="193" t="s">
        <v>1441</v>
      </c>
      <c r="D752" s="194">
        <v>22794</v>
      </c>
      <c r="E752" s="146"/>
      <c r="F752" s="146"/>
      <c r="G752" s="198"/>
      <c r="H752" s="19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</row>
    <row r="753" spans="1:23" ht="15" x14ac:dyDescent="0.4">
      <c r="A753" s="129">
        <v>521980</v>
      </c>
      <c r="B753" s="211">
        <v>42551</v>
      </c>
      <c r="C753" s="193" t="s">
        <v>1442</v>
      </c>
      <c r="D753" s="194">
        <v>67462</v>
      </c>
      <c r="E753" s="146"/>
      <c r="F753" s="146"/>
      <c r="G753" s="198"/>
      <c r="H753" s="19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</row>
    <row r="754" spans="1:23" ht="15" x14ac:dyDescent="0.4">
      <c r="A754" s="129">
        <v>522266</v>
      </c>
      <c r="B754" s="211">
        <v>42551</v>
      </c>
      <c r="C754" s="193" t="s">
        <v>1443</v>
      </c>
      <c r="D754" s="194">
        <v>81498</v>
      </c>
      <c r="E754" s="146"/>
      <c r="F754" s="146"/>
      <c r="G754" s="198"/>
      <c r="H754" s="19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</row>
    <row r="755" spans="1:23" ht="15" x14ac:dyDescent="0.4">
      <c r="A755" s="129">
        <v>528714</v>
      </c>
      <c r="B755" s="211">
        <v>42551</v>
      </c>
      <c r="C755" s="193" t="s">
        <v>1444</v>
      </c>
      <c r="D755" s="194">
        <v>60142</v>
      </c>
      <c r="E755" s="146"/>
      <c r="F755" s="146"/>
      <c r="G755" s="198"/>
      <c r="H755" s="19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</row>
    <row r="756" spans="1:23" ht="15" x14ac:dyDescent="0.4">
      <c r="A756" s="129">
        <v>529282</v>
      </c>
      <c r="B756" s="211">
        <v>42551</v>
      </c>
      <c r="C756" s="193" t="s">
        <v>1445</v>
      </c>
      <c r="D756" s="194">
        <v>65273</v>
      </c>
      <c r="E756" s="146"/>
      <c r="F756" s="146"/>
      <c r="G756" s="198"/>
      <c r="H756" s="19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</row>
    <row r="757" spans="1:23" ht="15" x14ac:dyDescent="0.4">
      <c r="A757" s="129">
        <v>530073</v>
      </c>
      <c r="B757" s="211">
        <v>42551</v>
      </c>
      <c r="C757" s="193" t="s">
        <v>1446</v>
      </c>
      <c r="D757" s="194">
        <v>34926</v>
      </c>
      <c r="E757" s="146"/>
      <c r="F757" s="146"/>
      <c r="G757" s="198"/>
      <c r="H757" s="19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</row>
    <row r="758" spans="1:23" ht="15" x14ac:dyDescent="0.4">
      <c r="A758" s="129">
        <v>530252</v>
      </c>
      <c r="B758" s="211">
        <v>42551</v>
      </c>
      <c r="C758" s="193" t="s">
        <v>1447</v>
      </c>
      <c r="D758" s="194">
        <v>85138</v>
      </c>
      <c r="E758" s="146"/>
      <c r="F758" s="146"/>
      <c r="G758" s="198"/>
      <c r="H758" s="19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</row>
    <row r="759" spans="1:23" ht="15" x14ac:dyDescent="0.4">
      <c r="A759" s="129">
        <v>530254</v>
      </c>
      <c r="B759" s="211">
        <v>42551</v>
      </c>
      <c r="C759" s="193" t="s">
        <v>1448</v>
      </c>
      <c r="D759" s="194">
        <v>89375</v>
      </c>
      <c r="E759" s="146"/>
      <c r="F759" s="146"/>
      <c r="G759" s="198"/>
      <c r="H759" s="19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</row>
    <row r="760" spans="1:23" x14ac:dyDescent="0.35">
      <c r="A760" s="129">
        <v>531246</v>
      </c>
      <c r="B760" s="211">
        <v>42551</v>
      </c>
      <c r="C760" s="193" t="s">
        <v>1449</v>
      </c>
      <c r="D760" s="194">
        <v>20250</v>
      </c>
      <c r="E760" s="128"/>
      <c r="F760" s="128"/>
      <c r="G760" s="200"/>
      <c r="H760" s="200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</row>
  </sheetData>
  <mergeCells count="2">
    <mergeCell ref="B1:H1"/>
    <mergeCell ref="J1:T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/>
  </sheetPr>
  <dimension ref="A1:J23"/>
  <sheetViews>
    <sheetView showGridLines="0" workbookViewId="0"/>
  </sheetViews>
  <sheetFormatPr defaultRowHeight="14.5" x14ac:dyDescent="0.35"/>
  <cols>
    <col min="7" max="7" width="11.54296875" bestFit="1" customWidth="1"/>
  </cols>
  <sheetData>
    <row r="1" spans="1:10" x14ac:dyDescent="0.35">
      <c r="A1" s="164" t="s">
        <v>1453</v>
      </c>
      <c r="B1" s="164" t="s">
        <v>74</v>
      </c>
      <c r="C1" s="164" t="s">
        <v>1455</v>
      </c>
      <c r="E1" s="242" t="s">
        <v>1457</v>
      </c>
      <c r="F1" s="242"/>
      <c r="G1" s="242"/>
      <c r="H1" s="242"/>
      <c r="I1" s="242"/>
      <c r="J1" s="242"/>
    </row>
    <row r="2" spans="1:10" x14ac:dyDescent="0.35">
      <c r="A2" s="24">
        <v>1001</v>
      </c>
      <c r="B2" s="24" t="s">
        <v>1454</v>
      </c>
      <c r="C2" s="163">
        <v>0.40347222222222223</v>
      </c>
      <c r="E2" s="157" t="s">
        <v>1453</v>
      </c>
      <c r="F2" s="157" t="s">
        <v>74</v>
      </c>
      <c r="G2" s="157" t="s">
        <v>1455</v>
      </c>
      <c r="H2" s="157" t="s">
        <v>1456</v>
      </c>
      <c r="I2" s="212"/>
    </row>
    <row r="3" spans="1:10" x14ac:dyDescent="0.35">
      <c r="A3" s="24">
        <v>1002</v>
      </c>
      <c r="B3" s="24" t="s">
        <v>236</v>
      </c>
      <c r="C3" s="163">
        <v>0.40989583333333335</v>
      </c>
      <c r="D3" s="161"/>
      <c r="E3" s="24">
        <v>1001</v>
      </c>
      <c r="F3" s="24" t="s">
        <v>1454</v>
      </c>
      <c r="G3" s="205" cm="1">
        <f t="array" ref="G3">IF(H3=$H$3,MIN(IF($B$2:$B$13=$F3,$C$2:$C$13)),MAX(IF($B$2:$B$13=$F3,$C$2:$C$13)))</f>
        <v>0.40347222222222223</v>
      </c>
      <c r="H3" s="160" t="s">
        <v>1458</v>
      </c>
      <c r="I3" s="212"/>
    </row>
    <row r="4" spans="1:10" x14ac:dyDescent="0.35">
      <c r="A4" s="24">
        <v>1003</v>
      </c>
      <c r="B4" s="24" t="s">
        <v>622</v>
      </c>
      <c r="C4" s="163">
        <v>0.41741898148148149</v>
      </c>
      <c r="E4" s="24">
        <v>1001</v>
      </c>
      <c r="F4" s="24" t="s">
        <v>1454</v>
      </c>
      <c r="G4" s="205" cm="1">
        <f t="array" ref="G4">IF(H4=$H$3,MIN(IF($B$2:$B$13=$F4,$C$2:$C$13)),MAX(IF($B$2:$B$13=$F4,$C$2:$C$13)))</f>
        <v>0.71402777777777793</v>
      </c>
      <c r="H4" s="162" t="s">
        <v>1459</v>
      </c>
      <c r="I4" s="22"/>
    </row>
    <row r="5" spans="1:10" x14ac:dyDescent="0.35">
      <c r="A5" s="24">
        <v>1001</v>
      </c>
      <c r="B5" s="24" t="s">
        <v>1454</v>
      </c>
      <c r="C5" s="163">
        <f t="shared" ref="C5:C13" si="0">+C4+"01:01:01"</f>
        <v>0.45979166666666665</v>
      </c>
      <c r="E5" s="24">
        <v>1002</v>
      </c>
      <c r="F5" s="24" t="s">
        <v>236</v>
      </c>
      <c r="G5" s="205" cm="1">
        <f t="array" ref="G5">IF(H5=$H$3,MIN(IF($B$2:$B$13=$F5,$C$2:$C$13)),MAX(IF($B$2:$B$13=$F5,$C$2:$C$13)))</f>
        <v>0.40989583333333335</v>
      </c>
      <c r="H5" s="160" t="s">
        <v>1458</v>
      </c>
      <c r="I5" s="22"/>
    </row>
    <row r="6" spans="1:10" x14ac:dyDescent="0.35">
      <c r="A6" s="24">
        <v>1002</v>
      </c>
      <c r="B6" s="24" t="s">
        <v>236</v>
      </c>
      <c r="C6" s="163">
        <f t="shared" si="0"/>
        <v>0.50216435185185182</v>
      </c>
      <c r="E6" s="24">
        <v>1002</v>
      </c>
      <c r="F6" s="24" t="s">
        <v>236</v>
      </c>
      <c r="G6" s="205" cm="1">
        <f t="array" ref="G6">IF(H6=$H$3,MIN(IF($B$2:$B$13=$F6,$C$2:$C$13)),MAX(IF($B$2:$B$13=$F6,$C$2:$C$13)))</f>
        <v>0.75640046296296315</v>
      </c>
      <c r="H6" s="162" t="s">
        <v>1459</v>
      </c>
      <c r="I6" s="22"/>
    </row>
    <row r="7" spans="1:10" x14ac:dyDescent="0.35">
      <c r="A7" s="24">
        <v>1003</v>
      </c>
      <c r="B7" s="24" t="s">
        <v>622</v>
      </c>
      <c r="C7" s="163">
        <f t="shared" si="0"/>
        <v>0.54453703703703704</v>
      </c>
      <c r="E7" s="24">
        <v>1003</v>
      </c>
      <c r="F7" s="24" t="s">
        <v>622</v>
      </c>
      <c r="G7" s="205" cm="1">
        <f t="array" ref="G7">IF(H7=$H$3,MIN(IF($B$2:$B$13=$F7,$C$2:$C$13)),MAX(IF($B$2:$B$13=$F7,$C$2:$C$13)))</f>
        <v>0.41741898148148149</v>
      </c>
      <c r="H7" s="160" t="s">
        <v>1458</v>
      </c>
      <c r="I7" s="22"/>
    </row>
    <row r="8" spans="1:10" x14ac:dyDescent="0.35">
      <c r="A8" s="24">
        <v>1001</v>
      </c>
      <c r="B8" s="24" t="s">
        <v>1454</v>
      </c>
      <c r="C8" s="163">
        <f t="shared" si="0"/>
        <v>0.58690972222222226</v>
      </c>
      <c r="E8" s="24">
        <v>1003</v>
      </c>
      <c r="F8" s="24" t="s">
        <v>622</v>
      </c>
      <c r="G8" s="205" cm="1">
        <f t="array" ref="G8">IF(H8=$H$3,MIN(IF($B$2:$B$13=$F8,$C$2:$C$13)),MAX(IF($B$2:$B$13=$F8,$C$2:$C$13)))</f>
        <v>0.79877314814814837</v>
      </c>
      <c r="H8" s="162" t="s">
        <v>1459</v>
      </c>
      <c r="I8" s="22"/>
    </row>
    <row r="9" spans="1:10" x14ac:dyDescent="0.35">
      <c r="A9" s="24">
        <v>1002</v>
      </c>
      <c r="B9" s="24" t="s">
        <v>236</v>
      </c>
      <c r="C9" s="163">
        <f t="shared" si="0"/>
        <v>0.62928240740740748</v>
      </c>
    </row>
    <row r="10" spans="1:10" x14ac:dyDescent="0.35">
      <c r="A10" s="24">
        <v>1003</v>
      </c>
      <c r="B10" s="24" t="s">
        <v>622</v>
      </c>
      <c r="C10" s="163">
        <f t="shared" si="0"/>
        <v>0.67165509259259271</v>
      </c>
    </row>
    <row r="11" spans="1:10" x14ac:dyDescent="0.35">
      <c r="A11" s="24">
        <v>1001</v>
      </c>
      <c r="B11" s="24" t="s">
        <v>1454</v>
      </c>
      <c r="C11" s="163">
        <f t="shared" si="0"/>
        <v>0.71402777777777793</v>
      </c>
    </row>
    <row r="12" spans="1:10" x14ac:dyDescent="0.35">
      <c r="A12" s="24">
        <v>1002</v>
      </c>
      <c r="B12" s="24" t="s">
        <v>236</v>
      </c>
      <c r="C12" s="163">
        <f t="shared" si="0"/>
        <v>0.75640046296296315</v>
      </c>
    </row>
    <row r="13" spans="1:10" x14ac:dyDescent="0.35">
      <c r="A13" s="24">
        <v>1003</v>
      </c>
      <c r="B13" s="24" t="s">
        <v>622</v>
      </c>
      <c r="C13" s="163">
        <f t="shared" si="0"/>
        <v>0.79877314814814837</v>
      </c>
    </row>
    <row r="14" spans="1:10" x14ac:dyDescent="0.35">
      <c r="A14" s="22"/>
      <c r="B14" s="22"/>
      <c r="C14" s="190"/>
    </row>
    <row r="15" spans="1:10" x14ac:dyDescent="0.35">
      <c r="A15" s="22"/>
      <c r="B15" s="22"/>
      <c r="C15" s="190"/>
    </row>
    <row r="16" spans="1:10" x14ac:dyDescent="0.35">
      <c r="A16" s="22"/>
      <c r="B16" s="22"/>
      <c r="C16" s="190"/>
      <c r="F16" s="213">
        <f>C2+C5</f>
        <v>0.86326388888888883</v>
      </c>
    </row>
    <row r="17" spans="1:3" x14ac:dyDescent="0.35">
      <c r="A17" s="22"/>
      <c r="B17" s="22"/>
      <c r="C17" s="190"/>
    </row>
    <row r="18" spans="1:3" x14ac:dyDescent="0.35">
      <c r="A18" s="22"/>
      <c r="B18" s="22"/>
      <c r="C18" s="190"/>
    </row>
    <row r="19" spans="1:3" x14ac:dyDescent="0.35">
      <c r="A19" s="22"/>
      <c r="B19" s="22"/>
      <c r="C19" s="190"/>
    </row>
    <row r="20" spans="1:3" x14ac:dyDescent="0.35">
      <c r="A20" s="22"/>
      <c r="B20" s="22"/>
      <c r="C20" s="190"/>
    </row>
    <row r="21" spans="1:3" x14ac:dyDescent="0.35">
      <c r="A21" s="22"/>
      <c r="B21" s="22"/>
      <c r="C21" s="190"/>
    </row>
    <row r="22" spans="1:3" x14ac:dyDescent="0.35">
      <c r="A22" s="22"/>
      <c r="B22" s="22"/>
      <c r="C22" s="190"/>
    </row>
    <row r="23" spans="1:3" x14ac:dyDescent="0.35">
      <c r="A23" s="22"/>
      <c r="B23" s="22"/>
      <c r="C23" s="190"/>
    </row>
  </sheetData>
  <sortState xmlns:xlrd2="http://schemas.microsoft.com/office/spreadsheetml/2017/richdata2" ref="A2:C23">
    <sortCondition ref="C2:C23"/>
  </sortState>
  <mergeCells count="1">
    <mergeCell ref="E1:J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/>
  </sheetPr>
  <dimension ref="A1:H22"/>
  <sheetViews>
    <sheetView showGridLines="0" workbookViewId="0"/>
  </sheetViews>
  <sheetFormatPr defaultRowHeight="14.5" x14ac:dyDescent="0.35"/>
  <cols>
    <col min="1" max="1" width="6.26953125" bestFit="1" customWidth="1"/>
    <col min="2" max="2" width="8.1796875" bestFit="1" customWidth="1"/>
    <col min="4" max="4" width="6.26953125" bestFit="1" customWidth="1"/>
    <col min="5" max="5" width="15.26953125" bestFit="1" customWidth="1"/>
    <col min="6" max="6" width="13.26953125" customWidth="1"/>
  </cols>
  <sheetData>
    <row r="1" spans="1:8" x14ac:dyDescent="0.35">
      <c r="A1" s="165" t="s">
        <v>74</v>
      </c>
      <c r="B1" s="165" t="s">
        <v>75</v>
      </c>
      <c r="D1" s="242" t="s">
        <v>1464</v>
      </c>
      <c r="E1" s="242"/>
      <c r="F1" s="242"/>
      <c r="G1" s="242"/>
      <c r="H1" s="242"/>
    </row>
    <row r="2" spans="1:8" x14ac:dyDescent="0.35">
      <c r="A2" s="134" t="s">
        <v>122</v>
      </c>
      <c r="B2" s="28">
        <v>30</v>
      </c>
      <c r="D2" s="166" t="s">
        <v>74</v>
      </c>
      <c r="E2" s="167" t="s">
        <v>1460</v>
      </c>
      <c r="F2" s="167" t="s">
        <v>1461</v>
      </c>
      <c r="H2" cm="1">
        <f t="array" ref="H2">MIN(IF(B2:B22&gt;0,IF(A2:A22=D3,B2:B22)))</f>
        <v>19</v>
      </c>
    </row>
    <row r="3" spans="1:8" x14ac:dyDescent="0.35">
      <c r="A3" s="134" t="s">
        <v>670</v>
      </c>
      <c r="B3" s="28">
        <v>30</v>
      </c>
      <c r="D3" s="168" t="s">
        <v>122</v>
      </c>
      <c r="E3" s="28" cm="1">
        <f t="array" ref="E3">MIN(IF($B$2:$B$22&gt;0,IF($A$2:$A$22=$D3,$B$2:$B$22)))</f>
        <v>19</v>
      </c>
      <c r="F3" s="28" cm="1">
        <f t="array" ref="F3">MAX(IF($B$2:$B$22&gt;0,IF($A$2:$A$22=$D3,$B$2:$B$22)))</f>
        <v>30</v>
      </c>
      <c r="H3">
        <f t="array" ref="H3">MIN(IF(B3:B23&gt;0,IF(A3:A23=D4,B3:B23)))</f>
        <v>10</v>
      </c>
    </row>
    <row r="4" spans="1:8" x14ac:dyDescent="0.35">
      <c r="A4" s="134" t="s">
        <v>672</v>
      </c>
      <c r="B4" s="28">
        <v>12</v>
      </c>
      <c r="D4" s="168" t="s">
        <v>670</v>
      </c>
      <c r="E4" s="28" cm="1">
        <f t="array" ref="E4">MIN(IF($B$2:$B$22&gt;0,IF($A$2:$A$22=$D4,$B$2:$B$22)))</f>
        <v>10</v>
      </c>
      <c r="F4" s="28" cm="1">
        <f t="array" ref="F4">MAX(IF($B$2:$B$22&gt;0,IF($A$2:$A$22=$D4,$B$2:$B$22)))</f>
        <v>30</v>
      </c>
      <c r="H4">
        <f t="array" ref="H4">MIN(IF(B4:B24&gt;0,IF(A4:A24=D5,B4:B24)))</f>
        <v>12</v>
      </c>
    </row>
    <row r="5" spans="1:8" x14ac:dyDescent="0.35">
      <c r="A5" s="134" t="s">
        <v>1462</v>
      </c>
      <c r="B5" s="28">
        <v>0</v>
      </c>
      <c r="D5" s="168" t="s">
        <v>672</v>
      </c>
      <c r="E5" s="28" cm="1">
        <f t="array" ref="E5">MIN(IF($B$2:$B$22&gt;0,IF($A$2:$A$22=$D5,$B$2:$B$22)))</f>
        <v>12</v>
      </c>
      <c r="F5" s="28" cm="1">
        <f t="array" ref="F5">MAX(IF($B$2:$B$22&gt;0,IF($A$2:$A$22=$D5,$B$2:$B$22)))</f>
        <v>42</v>
      </c>
      <c r="H5">
        <f t="array" ref="H5">MIN(IF(B5:B25&gt;0,IF(A5:A25=D6,B5:B25)))</f>
        <v>24</v>
      </c>
    </row>
    <row r="6" spans="1:8" x14ac:dyDescent="0.35">
      <c r="A6" s="134" t="s">
        <v>1463</v>
      </c>
      <c r="B6" s="28">
        <v>0</v>
      </c>
      <c r="D6" s="168" t="s">
        <v>1462</v>
      </c>
      <c r="E6" s="28" cm="1">
        <f t="array" ref="E6">MIN(IF($B$2:$B$22&gt;0,IF($A$2:$A$22=$D6,$B$2:$B$22)))</f>
        <v>24</v>
      </c>
      <c r="F6" s="28" cm="1">
        <f t="array" ref="F6">MAX(IF($B$2:$B$22&gt;0,IF($A$2:$A$22=$D6,$B$2:$B$22)))</f>
        <v>26</v>
      </c>
      <c r="H6">
        <f t="array" ref="H6">MIN(IF(B6:B26&gt;0,IF(A6:A26=D7,B6:B26)))</f>
        <v>34</v>
      </c>
    </row>
    <row r="7" spans="1:8" x14ac:dyDescent="0.35">
      <c r="A7" s="134" t="s">
        <v>122</v>
      </c>
      <c r="B7" s="28">
        <v>21</v>
      </c>
      <c r="D7" s="168" t="s">
        <v>1463</v>
      </c>
      <c r="E7" s="28" cm="1">
        <f t="array" ref="E7">MIN(IF($B$2:$B$22&gt;0,IF($A$2:$A$22=$D7,$B$2:$B$22)))</f>
        <v>34</v>
      </c>
      <c r="F7" s="28" cm="1">
        <f t="array" ref="F7">MAX(IF($B$2:$B$22&gt;0,IF($A$2:$A$22=$D7,$B$2:$B$22)))</f>
        <v>43</v>
      </c>
    </row>
    <row r="8" spans="1:8" x14ac:dyDescent="0.35">
      <c r="A8" s="134" t="s">
        <v>670</v>
      </c>
      <c r="B8" s="28">
        <v>0</v>
      </c>
      <c r="E8" s="28"/>
    </row>
    <row r="9" spans="1:8" x14ac:dyDescent="0.35">
      <c r="A9" s="134" t="s">
        <v>1462</v>
      </c>
      <c r="B9" s="28">
        <v>0</v>
      </c>
      <c r="D9" s="166" t="s">
        <v>74</v>
      </c>
      <c r="E9" s="167" t="s">
        <v>1460</v>
      </c>
      <c r="F9" s="167" t="s">
        <v>1461</v>
      </c>
    </row>
    <row r="10" spans="1:8" x14ac:dyDescent="0.35">
      <c r="A10" s="134" t="s">
        <v>1463</v>
      </c>
      <c r="B10" s="28">
        <v>43</v>
      </c>
      <c r="D10" s="168" t="s">
        <v>122</v>
      </c>
      <c r="E10" s="28">
        <v>19</v>
      </c>
      <c r="F10" s="28">
        <v>30</v>
      </c>
      <c r="G10" s="158"/>
    </row>
    <row r="11" spans="1:8" x14ac:dyDescent="0.35">
      <c r="A11" s="134" t="s">
        <v>672</v>
      </c>
      <c r="B11" s="28">
        <v>42</v>
      </c>
      <c r="D11" s="168" t="s">
        <v>670</v>
      </c>
      <c r="E11" s="28">
        <v>10</v>
      </c>
      <c r="F11" s="28">
        <v>30</v>
      </c>
    </row>
    <row r="12" spans="1:8" x14ac:dyDescent="0.35">
      <c r="A12" s="134" t="s">
        <v>122</v>
      </c>
      <c r="B12" s="28">
        <v>30</v>
      </c>
      <c r="D12" s="168" t="s">
        <v>672</v>
      </c>
      <c r="E12" s="28">
        <v>12</v>
      </c>
      <c r="F12" s="28">
        <v>42</v>
      </c>
    </row>
    <row r="13" spans="1:8" x14ac:dyDescent="0.35">
      <c r="A13" s="134" t="s">
        <v>670</v>
      </c>
      <c r="B13" s="28">
        <v>10</v>
      </c>
      <c r="D13" s="168" t="s">
        <v>1462</v>
      </c>
      <c r="E13" s="28">
        <v>24</v>
      </c>
      <c r="F13" s="28">
        <v>26</v>
      </c>
    </row>
    <row r="14" spans="1:8" x14ac:dyDescent="0.35">
      <c r="A14" s="134" t="s">
        <v>672</v>
      </c>
      <c r="B14" s="28">
        <v>0</v>
      </c>
      <c r="D14" s="168" t="s">
        <v>1463</v>
      </c>
      <c r="E14" s="28">
        <v>34</v>
      </c>
      <c r="F14" s="28">
        <v>43</v>
      </c>
    </row>
    <row r="15" spans="1:8" x14ac:dyDescent="0.35">
      <c r="A15" s="134" t="s">
        <v>1462</v>
      </c>
      <c r="B15" s="28">
        <v>24</v>
      </c>
    </row>
    <row r="16" spans="1:8" x14ac:dyDescent="0.35">
      <c r="A16" s="134" t="s">
        <v>1463</v>
      </c>
      <c r="B16" s="28">
        <v>34</v>
      </c>
    </row>
    <row r="17" spans="1:2" x14ac:dyDescent="0.35">
      <c r="A17" s="134" t="s">
        <v>122</v>
      </c>
      <c r="B17" s="28">
        <v>0</v>
      </c>
    </row>
    <row r="18" spans="1:2" x14ac:dyDescent="0.35">
      <c r="A18" s="134" t="s">
        <v>670</v>
      </c>
      <c r="B18" s="28">
        <v>28</v>
      </c>
    </row>
    <row r="19" spans="1:2" x14ac:dyDescent="0.35">
      <c r="A19" s="134" t="s">
        <v>1462</v>
      </c>
      <c r="B19" s="28">
        <v>26</v>
      </c>
    </row>
    <row r="20" spans="1:2" x14ac:dyDescent="0.35">
      <c r="A20" s="134" t="s">
        <v>672</v>
      </c>
      <c r="B20" s="28">
        <v>0</v>
      </c>
    </row>
    <row r="21" spans="1:2" x14ac:dyDescent="0.35">
      <c r="A21" s="134" t="s">
        <v>122</v>
      </c>
      <c r="B21" s="28">
        <v>19</v>
      </c>
    </row>
    <row r="22" spans="1:2" x14ac:dyDescent="0.35">
      <c r="A22" s="134" t="s">
        <v>122</v>
      </c>
      <c r="B22" s="28">
        <v>0</v>
      </c>
    </row>
  </sheetData>
  <mergeCells count="1">
    <mergeCell ref="D1:H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theme="0"/>
  </sheetPr>
  <dimension ref="A1:I37"/>
  <sheetViews>
    <sheetView showGridLines="0" workbookViewId="0"/>
  </sheetViews>
  <sheetFormatPr defaultRowHeight="14.5" x14ac:dyDescent="0.35"/>
  <cols>
    <col min="1" max="1" width="8.26953125" customWidth="1"/>
    <col min="2" max="2" width="11.26953125" style="22" customWidth="1"/>
    <col min="3" max="3" width="8.453125" bestFit="1" customWidth="1"/>
    <col min="4" max="4" width="9.26953125" customWidth="1"/>
    <col min="5" max="5" width="13.1796875" style="22" bestFit="1" customWidth="1"/>
  </cols>
  <sheetData>
    <row r="1" spans="1:9" x14ac:dyDescent="0.35">
      <c r="A1" s="169" t="s">
        <v>74</v>
      </c>
      <c r="B1" s="170" t="s">
        <v>75</v>
      </c>
      <c r="D1" s="242" t="s">
        <v>1466</v>
      </c>
      <c r="E1" s="242"/>
      <c r="F1" s="242"/>
      <c r="G1" s="242"/>
      <c r="H1" s="242"/>
      <c r="I1" s="242"/>
    </row>
    <row r="2" spans="1:9" x14ac:dyDescent="0.35">
      <c r="A2" s="134" t="s">
        <v>76</v>
      </c>
      <c r="B2" s="24">
        <v>-360</v>
      </c>
      <c r="D2" s="169" t="s">
        <v>74</v>
      </c>
      <c r="E2" s="170" t="s">
        <v>1465</v>
      </c>
    </row>
    <row r="3" spans="1:9" x14ac:dyDescent="0.35">
      <c r="A3" s="134" t="s">
        <v>76</v>
      </c>
      <c r="B3" s="24">
        <v>-183</v>
      </c>
      <c r="D3" s="134" t="s">
        <v>82</v>
      </c>
      <c r="E3" s="24">
        <f>SUMIFS($B$2:$B$37,$A$2:$A$37,$D3,$B$2:$B$37,"&gt;0")+SUMIFS($B$2:$B$37,$A$2:$A$37,$D3,$B$2:$B$37,"&lt;0")</f>
        <v>1886</v>
      </c>
    </row>
    <row r="4" spans="1:9" x14ac:dyDescent="0.35">
      <c r="A4" s="134" t="s">
        <v>76</v>
      </c>
      <c r="B4" s="24">
        <v>-147</v>
      </c>
      <c r="D4" s="134" t="s">
        <v>76</v>
      </c>
      <c r="E4" s="24">
        <f t="shared" ref="E4:E5" si="0">SUMIFS($B$2:$B$37,$A$2:$A$37,$D4,$B$2:$B$37,"&gt;0")+SUMIFS($B$2:$B$37,$A$2:$A$37,$D4,$B$2:$B$37,"&lt;0")</f>
        <v>1376</v>
      </c>
    </row>
    <row r="5" spans="1:9" x14ac:dyDescent="0.35">
      <c r="A5" s="134" t="s">
        <v>76</v>
      </c>
      <c r="B5" s="24">
        <v>-145</v>
      </c>
      <c r="D5" s="134" t="s">
        <v>81</v>
      </c>
      <c r="E5" s="24">
        <f t="shared" si="0"/>
        <v>2862</v>
      </c>
    </row>
    <row r="6" spans="1:9" x14ac:dyDescent="0.35">
      <c r="A6" s="134" t="s">
        <v>76</v>
      </c>
      <c r="B6" s="24">
        <v>-29</v>
      </c>
    </row>
    <row r="7" spans="1:9" x14ac:dyDescent="0.35">
      <c r="A7" s="134" t="s">
        <v>76</v>
      </c>
      <c r="B7" s="24">
        <v>341</v>
      </c>
      <c r="D7" t="s">
        <v>100</v>
      </c>
    </row>
    <row r="8" spans="1:9" x14ac:dyDescent="0.35">
      <c r="A8" s="134" t="s">
        <v>76</v>
      </c>
      <c r="B8" s="24">
        <v>437</v>
      </c>
      <c r="D8" s="169" t="s">
        <v>74</v>
      </c>
      <c r="E8" s="170" t="s">
        <v>1465</v>
      </c>
    </row>
    <row r="9" spans="1:9" x14ac:dyDescent="0.35">
      <c r="A9" s="134" t="s">
        <v>76</v>
      </c>
      <c r="B9" s="24">
        <v>725</v>
      </c>
      <c r="D9" s="134" t="s">
        <v>82</v>
      </c>
      <c r="E9" s="24">
        <v>1886</v>
      </c>
    </row>
    <row r="10" spans="1:9" x14ac:dyDescent="0.35">
      <c r="A10" s="134" t="s">
        <v>76</v>
      </c>
      <c r="B10" s="24">
        <v>737</v>
      </c>
      <c r="D10" s="134" t="s">
        <v>76</v>
      </c>
      <c r="E10" s="24">
        <v>1376</v>
      </c>
    </row>
    <row r="11" spans="1:9" x14ac:dyDescent="0.35">
      <c r="A11" s="134" t="s">
        <v>76</v>
      </c>
      <c r="B11" s="171" t="e">
        <v>#DIV/0!</v>
      </c>
      <c r="D11" s="134" t="s">
        <v>81</v>
      </c>
      <c r="E11" s="24">
        <v>2862</v>
      </c>
    </row>
    <row r="12" spans="1:9" x14ac:dyDescent="0.35">
      <c r="A12" s="134" t="s">
        <v>76</v>
      </c>
      <c r="B12" s="171" t="e">
        <v>#DIV/0!</v>
      </c>
    </row>
    <row r="13" spans="1:9" x14ac:dyDescent="0.35">
      <c r="A13" s="134" t="s">
        <v>76</v>
      </c>
      <c r="B13" s="24" t="e">
        <v>#NULL!</v>
      </c>
    </row>
    <row r="14" spans="1:9" x14ac:dyDescent="0.35">
      <c r="A14" s="134" t="s">
        <v>81</v>
      </c>
      <c r="B14" s="24">
        <v>-315</v>
      </c>
    </row>
    <row r="15" spans="1:9" x14ac:dyDescent="0.35">
      <c r="A15" s="134" t="s">
        <v>81</v>
      </c>
      <c r="B15" s="24">
        <v>-167</v>
      </c>
    </row>
    <row r="16" spans="1:9" x14ac:dyDescent="0.35">
      <c r="A16" s="134" t="s">
        <v>81</v>
      </c>
      <c r="B16" s="24">
        <v>-8</v>
      </c>
    </row>
    <row r="17" spans="1:2" x14ac:dyDescent="0.35">
      <c r="A17" s="134" t="s">
        <v>81</v>
      </c>
      <c r="B17" s="24">
        <v>316</v>
      </c>
    </row>
    <row r="18" spans="1:2" x14ac:dyDescent="0.35">
      <c r="A18" s="134" t="s">
        <v>81</v>
      </c>
      <c r="B18" s="24">
        <v>364</v>
      </c>
    </row>
    <row r="19" spans="1:2" x14ac:dyDescent="0.35">
      <c r="A19" s="134" t="s">
        <v>81</v>
      </c>
      <c r="B19" s="24">
        <v>389</v>
      </c>
    </row>
    <row r="20" spans="1:2" x14ac:dyDescent="0.35">
      <c r="A20" s="134" t="s">
        <v>81</v>
      </c>
      <c r="B20" s="24">
        <v>506</v>
      </c>
    </row>
    <row r="21" spans="1:2" x14ac:dyDescent="0.35">
      <c r="A21" s="134" t="s">
        <v>81</v>
      </c>
      <c r="B21" s="24">
        <v>524</v>
      </c>
    </row>
    <row r="22" spans="1:2" x14ac:dyDescent="0.35">
      <c r="A22" s="134" t="s">
        <v>81</v>
      </c>
      <c r="B22" s="24">
        <v>619</v>
      </c>
    </row>
    <row r="23" spans="1:2" x14ac:dyDescent="0.35">
      <c r="A23" s="134" t="s">
        <v>81</v>
      </c>
      <c r="B23" s="24">
        <v>634</v>
      </c>
    </row>
    <row r="24" spans="1:2" x14ac:dyDescent="0.35">
      <c r="A24" s="134" t="s">
        <v>81</v>
      </c>
      <c r="B24" s="24" t="e">
        <v>#REF!</v>
      </c>
    </row>
    <row r="25" spans="1:2" x14ac:dyDescent="0.35">
      <c r="A25" s="134" t="s">
        <v>81</v>
      </c>
      <c r="B25" s="24" t="e">
        <v>#NULL!</v>
      </c>
    </row>
    <row r="26" spans="1:2" x14ac:dyDescent="0.35">
      <c r="A26" s="134" t="s">
        <v>82</v>
      </c>
      <c r="B26" s="24">
        <v>-331</v>
      </c>
    </row>
    <row r="27" spans="1:2" x14ac:dyDescent="0.35">
      <c r="A27" s="134" t="s">
        <v>82</v>
      </c>
      <c r="B27" s="24">
        <v>-318</v>
      </c>
    </row>
    <row r="28" spans="1:2" x14ac:dyDescent="0.35">
      <c r="A28" s="134" t="s">
        <v>82</v>
      </c>
      <c r="B28" s="24">
        <v>-166</v>
      </c>
    </row>
    <row r="29" spans="1:2" x14ac:dyDescent="0.35">
      <c r="A29" s="134" t="s">
        <v>82</v>
      </c>
      <c r="B29" s="24">
        <v>-53</v>
      </c>
    </row>
    <row r="30" spans="1:2" x14ac:dyDescent="0.35">
      <c r="A30" s="134" t="s">
        <v>82</v>
      </c>
      <c r="B30" s="24">
        <v>8</v>
      </c>
    </row>
    <row r="31" spans="1:2" x14ac:dyDescent="0.35">
      <c r="A31" s="134" t="s">
        <v>82</v>
      </c>
      <c r="B31" s="24">
        <v>408</v>
      </c>
    </row>
    <row r="32" spans="1:2" x14ac:dyDescent="0.35">
      <c r="A32" s="134" t="s">
        <v>82</v>
      </c>
      <c r="B32" s="24">
        <v>483</v>
      </c>
    </row>
    <row r="33" spans="1:2" x14ac:dyDescent="0.35">
      <c r="A33" s="134" t="s">
        <v>82</v>
      </c>
      <c r="B33" s="24">
        <v>514</v>
      </c>
    </row>
    <row r="34" spans="1:2" x14ac:dyDescent="0.35">
      <c r="A34" s="134" t="s">
        <v>82</v>
      </c>
      <c r="B34" s="24">
        <v>563</v>
      </c>
    </row>
    <row r="35" spans="1:2" x14ac:dyDescent="0.35">
      <c r="A35" s="134" t="s">
        <v>82</v>
      </c>
      <c r="B35" s="24">
        <v>778</v>
      </c>
    </row>
    <row r="36" spans="1:2" x14ac:dyDescent="0.35">
      <c r="A36" s="134" t="s">
        <v>82</v>
      </c>
      <c r="B36" s="24" t="e">
        <v>#NAME?</v>
      </c>
    </row>
    <row r="37" spans="1:2" x14ac:dyDescent="0.35">
      <c r="A37" s="134" t="s">
        <v>82</v>
      </c>
      <c r="B37" s="24" t="e">
        <v>#NAME?</v>
      </c>
    </row>
  </sheetData>
  <mergeCells count="1">
    <mergeCell ref="D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I17"/>
  <sheetViews>
    <sheetView showGridLines="0" workbookViewId="0">
      <selection sqref="A1:G1"/>
    </sheetView>
  </sheetViews>
  <sheetFormatPr defaultColWidth="9.1796875" defaultRowHeight="14.5" x14ac:dyDescent="0.35"/>
  <cols>
    <col min="1" max="1" width="7.26953125" style="22" bestFit="1" customWidth="1"/>
    <col min="2" max="2" width="16.1796875" style="22" bestFit="1" customWidth="1"/>
    <col min="3" max="3" width="5.26953125" style="22" bestFit="1" customWidth="1"/>
    <col min="4" max="4" width="10.453125" style="22" bestFit="1" customWidth="1"/>
    <col min="8" max="8" width="9.54296875" bestFit="1" customWidth="1"/>
    <col min="9" max="9" width="10.453125" bestFit="1" customWidth="1"/>
  </cols>
  <sheetData>
    <row r="1" spans="1:9" x14ac:dyDescent="0.35">
      <c r="A1" s="243" t="s">
        <v>1486</v>
      </c>
      <c r="B1" s="243"/>
      <c r="C1" s="243"/>
      <c r="D1" s="243"/>
      <c r="E1" s="243"/>
      <c r="F1" s="243"/>
      <c r="G1" s="243"/>
    </row>
    <row r="2" spans="1:9" ht="17" x14ac:dyDescent="0.45">
      <c r="A2" s="181"/>
      <c r="B2" s="181"/>
      <c r="C2" s="181"/>
      <c r="D2" s="183"/>
      <c r="E2" s="172"/>
      <c r="F2" s="172"/>
      <c r="H2" s="244" t="s">
        <v>1467</v>
      </c>
      <c r="I2" s="244"/>
    </row>
    <row r="3" spans="1:9" ht="15" x14ac:dyDescent="0.4">
      <c r="A3" s="184" t="s">
        <v>680</v>
      </c>
      <c r="B3" s="185" t="s">
        <v>74</v>
      </c>
      <c r="C3" s="184" t="s">
        <v>1469</v>
      </c>
      <c r="D3" s="184" t="s">
        <v>1468</v>
      </c>
      <c r="E3" s="174"/>
      <c r="F3" s="174"/>
      <c r="H3" s="186" t="s">
        <v>1467</v>
      </c>
      <c r="I3" s="187" t="s">
        <v>1468</v>
      </c>
    </row>
    <row r="4" spans="1:9" ht="15" x14ac:dyDescent="0.4">
      <c r="A4" s="180">
        <v>46901</v>
      </c>
      <c r="B4" s="182" t="s">
        <v>1471</v>
      </c>
      <c r="C4" s="180">
        <v>127</v>
      </c>
      <c r="D4" s="177" t="str">
        <f>IF(AND(C4&lt;&gt;130,C4&lt;=134),"1.5",IF(AND(C4&gt;=134,C4&lt;=136),"1.25",IF(AND(C4&gt;=136,C4&lt;=138),"1.1",IF(AND(C4&gt;=138,C4&lt;=140),"1",IF(AND(C4&gt;=140,C4&lt;&gt;142),"0.8","-")))))</f>
        <v>1.5</v>
      </c>
      <c r="E4" s="175"/>
      <c r="F4" s="175"/>
      <c r="H4" s="176" t="s">
        <v>1470</v>
      </c>
      <c r="I4" s="177">
        <v>0.8</v>
      </c>
    </row>
    <row r="5" spans="1:9" ht="15" x14ac:dyDescent="0.4">
      <c r="A5" s="180">
        <v>45768</v>
      </c>
      <c r="B5" s="182" t="s">
        <v>1473</v>
      </c>
      <c r="C5" s="180">
        <v>105</v>
      </c>
      <c r="D5" s="177" t="str">
        <f t="shared" ref="D5:D14" si="0">IF(AND(C5&lt;&gt;130,C5&lt;=134),"1.5",IF(AND(C5&gt;=134,C5&lt;=136),"1.25",IF(AND(C5&gt;=136,C5&lt;=138),"1.1",IF(AND(C5&gt;=138,C5&lt;=140),"1",IF(AND(C5&gt;=140,C5&lt;&gt;142),"0.8","-")))))</f>
        <v>1.5</v>
      </c>
      <c r="E5" s="175"/>
      <c r="F5" s="175"/>
      <c r="H5" s="176" t="s">
        <v>1472</v>
      </c>
      <c r="I5" s="177">
        <v>1</v>
      </c>
    </row>
    <row r="6" spans="1:9" ht="15" x14ac:dyDescent="0.4">
      <c r="A6" s="180">
        <v>46524</v>
      </c>
      <c r="B6" s="182" t="s">
        <v>1475</v>
      </c>
      <c r="C6" s="180">
        <v>140</v>
      </c>
      <c r="D6" s="177" t="str">
        <f t="shared" si="0"/>
        <v>1</v>
      </c>
      <c r="E6" s="175"/>
      <c r="F6" s="175"/>
      <c r="H6" s="176" t="s">
        <v>1474</v>
      </c>
      <c r="I6" s="177">
        <v>1.1000000000000001</v>
      </c>
    </row>
    <row r="7" spans="1:9" ht="15" x14ac:dyDescent="0.4">
      <c r="A7" s="180">
        <v>46622</v>
      </c>
      <c r="B7" s="182" t="s">
        <v>1477</v>
      </c>
      <c r="C7" s="180">
        <v>134</v>
      </c>
      <c r="D7" s="177" t="str">
        <f t="shared" si="0"/>
        <v>1.5</v>
      </c>
      <c r="E7" s="175"/>
      <c r="F7" s="175"/>
      <c r="H7" s="176" t="s">
        <v>1476</v>
      </c>
      <c r="I7" s="177">
        <v>1.25</v>
      </c>
    </row>
    <row r="8" spans="1:9" ht="17.5" thickBot="1" x14ac:dyDescent="0.5">
      <c r="A8" s="180">
        <v>46617</v>
      </c>
      <c r="B8" s="182" t="s">
        <v>1479</v>
      </c>
      <c r="C8" s="180">
        <v>136</v>
      </c>
      <c r="D8" s="177" t="str">
        <f t="shared" si="0"/>
        <v>1.25</v>
      </c>
      <c r="E8" s="175"/>
      <c r="F8" s="175"/>
      <c r="G8" s="173"/>
      <c r="H8" s="178" t="s">
        <v>1478</v>
      </c>
      <c r="I8" s="179">
        <v>1.5</v>
      </c>
    </row>
    <row r="9" spans="1:9" ht="17" x14ac:dyDescent="0.45">
      <c r="A9" s="180">
        <v>47791</v>
      </c>
      <c r="B9" s="182" t="s">
        <v>1480</v>
      </c>
      <c r="C9" s="180">
        <v>126</v>
      </c>
      <c r="D9" s="177" t="str">
        <f t="shared" si="0"/>
        <v>1.5</v>
      </c>
      <c r="E9" s="175"/>
      <c r="F9" s="175"/>
      <c r="G9" s="173"/>
    </row>
    <row r="10" spans="1:9" ht="17" x14ac:dyDescent="0.45">
      <c r="A10" s="180">
        <v>46722</v>
      </c>
      <c r="B10" s="182" t="s">
        <v>1481</v>
      </c>
      <c r="C10" s="180">
        <v>136</v>
      </c>
      <c r="D10" s="177" t="str">
        <f t="shared" si="0"/>
        <v>1.25</v>
      </c>
      <c r="E10" s="175"/>
      <c r="F10" s="175"/>
      <c r="G10" s="173"/>
      <c r="H10" s="181"/>
    </row>
    <row r="11" spans="1:9" ht="17" x14ac:dyDescent="0.45">
      <c r="A11" s="180">
        <v>48060</v>
      </c>
      <c r="B11" s="182" t="s">
        <v>1482</v>
      </c>
      <c r="C11" s="180">
        <v>150</v>
      </c>
      <c r="D11" s="177" t="str">
        <f t="shared" si="0"/>
        <v>0.8</v>
      </c>
      <c r="E11" s="175"/>
      <c r="F11" s="175"/>
      <c r="G11" s="173"/>
      <c r="H11" s="215" t="s">
        <v>1489</v>
      </c>
      <c r="I11" s="134">
        <v>1.5</v>
      </c>
    </row>
    <row r="12" spans="1:9" ht="17" x14ac:dyDescent="0.45">
      <c r="A12" s="180">
        <v>48049</v>
      </c>
      <c r="B12" s="182" t="s">
        <v>1483</v>
      </c>
      <c r="C12" s="180">
        <v>131</v>
      </c>
      <c r="D12" s="177" t="str">
        <f t="shared" si="0"/>
        <v>1.5</v>
      </c>
      <c r="E12" s="175"/>
      <c r="F12" s="175"/>
      <c r="G12" s="173"/>
      <c r="H12" s="215" t="s">
        <v>1490</v>
      </c>
      <c r="I12" s="134">
        <v>1.25</v>
      </c>
    </row>
    <row r="13" spans="1:9" ht="17" x14ac:dyDescent="0.45">
      <c r="A13" s="180">
        <v>46944</v>
      </c>
      <c r="B13" s="182" t="s">
        <v>1484</v>
      </c>
      <c r="C13" s="180">
        <v>141</v>
      </c>
      <c r="D13" s="177" t="str">
        <f t="shared" si="0"/>
        <v>0.8</v>
      </c>
      <c r="E13" s="175"/>
      <c r="F13" s="175"/>
      <c r="G13" s="173"/>
      <c r="H13" s="215" t="s">
        <v>1488</v>
      </c>
      <c r="I13" s="134">
        <v>1.1000000000000001</v>
      </c>
    </row>
    <row r="14" spans="1:9" ht="17" x14ac:dyDescent="0.45">
      <c r="A14" s="180">
        <v>46485</v>
      </c>
      <c r="B14" s="182" t="s">
        <v>1485</v>
      </c>
      <c r="C14" s="180">
        <v>128</v>
      </c>
      <c r="D14" s="177" t="str">
        <f t="shared" si="0"/>
        <v>1.5</v>
      </c>
      <c r="E14" s="175"/>
      <c r="F14" s="175"/>
      <c r="G14" s="173"/>
      <c r="H14" s="215" t="s">
        <v>1491</v>
      </c>
      <c r="I14" s="134">
        <v>1</v>
      </c>
    </row>
    <row r="15" spans="1:9" ht="15" x14ac:dyDescent="0.4">
      <c r="H15" s="215" t="s">
        <v>1492</v>
      </c>
      <c r="I15" s="134">
        <v>0.8</v>
      </c>
    </row>
    <row r="17" spans="4:4" x14ac:dyDescent="0.35">
      <c r="D17" s="22" t="s">
        <v>1487</v>
      </c>
    </row>
  </sheetData>
  <protectedRanges>
    <protectedRange sqref="H3:I8 A1:G1 G8:G14 A2:F14" name="Range1_1"/>
  </protectedRanges>
  <mergeCells count="2">
    <mergeCell ref="A1:G1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Que1</vt:lpstr>
      <vt:lpstr>Que2</vt:lpstr>
      <vt:lpstr>Que3</vt:lpstr>
      <vt:lpstr>Que4</vt:lpstr>
      <vt:lpstr>Que5</vt:lpstr>
      <vt:lpstr>Que6</vt:lpstr>
      <vt:lpstr>Que7</vt:lpstr>
      <vt:lpstr>Que8</vt:lpstr>
      <vt:lpstr>Que9</vt:lpstr>
      <vt:lpstr>Que10</vt:lpstr>
      <vt:lpstr>Que11</vt:lpstr>
      <vt:lpstr>Que12</vt:lpstr>
      <vt:lpstr>Que13</vt:lpstr>
      <vt:lpstr>Que14</vt:lpstr>
      <vt:lpstr>Que15</vt:lpstr>
      <vt:lpstr>Que16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Madhu Kumari</cp:lastModifiedBy>
  <dcterms:created xsi:type="dcterms:W3CDTF">2016-10-16T09:26:36Z</dcterms:created>
  <dcterms:modified xsi:type="dcterms:W3CDTF">2026-09-27T16:45:40Z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2023-03-01T16:15:10Z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c85cb5ca-6861-4b6a-b41b-9479a1c3de96</vt:lpwstr>
  </property>
  <property fmtid="{D5CDD505-2E9C-101B-9397-08002B2CF9AE}" pid="7" name="MSIP_Label_defa4170-0d19-0005-0004-bc88714345d2_ActionId">
    <vt:lpwstr>3171bf48-c4a3-47f2-99b3-aef59933ecdf</vt:lpwstr>
  </property>
  <property fmtid="{D5CDD505-2E9C-101B-9397-08002B2CF9AE}" pid="8" name="MSIP_Label_defa4170-0d19-0005-0004-bc88714345d2_ContentBits">
    <vt:lpwstr>0</vt:lpwstr>
  </property>
</Properties>
</file>